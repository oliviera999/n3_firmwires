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-moi" sheetId="1" state="visible" r:id="rId3"/>
    <sheet name="Global" sheetId="2" state="visible" r:id="rId4"/>
    <sheet name="Prix" sheetId="3" state="visible" r:id="rId5"/>
    <sheet name="msp1" sheetId="4" state="visible" r:id="rId6"/>
    <sheet name="n3pp" sheetId="5" state="visible" r:id="rId7"/>
    <sheet name="ffp5cs 230V" sheetId="6" state="visible" r:id="rId8"/>
    <sheet name="ffp5cs 12V" sheetId="7" state="visible" r:id="rId9"/>
  </sheets>
  <definedNames>
    <definedName function="false" hidden="true" localSheetId="6" name="_xlnm._FilterDatabase" vbProcedure="false">'ffp5cs 12V'!$A$17:$L$73</definedName>
    <definedName function="false" hidden="true" localSheetId="5" name="_xlnm._FilterDatabase" vbProcedure="false">'ffp5cs 230V'!$A$17:$L$66</definedName>
    <definedName function="false" hidden="true" localSheetId="1" name="_xlnm._FilterDatabase" vbProcedure="false">Global!$A$14:$S$87</definedName>
    <definedName function="false" hidden="true" localSheetId="3" name="_xlnm._FilterDatabase" vbProcedure="false">msp1!$A$17:$L$60</definedName>
    <definedName function="false" hidden="true" localSheetId="4" name="_xlnm._FilterDatabase" vbProcedure="false">n3pp!$A$17:$L$57</definedName>
    <definedName function="false" hidden="true" localSheetId="2" name="_xlnm._FilterDatabase" vbProcedure="false">Prix!$A$4:$K$79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<sst xmlns="http://schemas.openxmlformats.org/spreadsheetml/2006/main" count="2613" uniqueCount="590">
  <si>
    <t xml:space="preserve">Achats n3-universal — 4 projets</t>
  </si>
  <si>
    <t xml:space="preserve">Carte universelle rev 0.2.2 (hardware/n3-universal). Prix relevés le 18/10/2026 chez les boutiques marocaines en ligne.</t>
  </si>
  <si>
    <t xml:space="preserve">Feuilles</t>
  </si>
  <si>
    <t xml:space="preserve">Global — tout ce qu'il faut acheter pour les 4 unités, rechange comprise, arrondi aux lots vendus, avec le coût total.</t>
  </si>
  <si>
    <t xml:space="preserve">msp1, n3pp, ffp5cs 230V, ffp5cs 12V — une feuille par projet : consignes de pose, composants à poser sur la carte et ce qui se branche autour, coût d'une unité.</t>
  </si>
  <si>
    <t xml:space="preserve">Prix — catalogue unique (fournisseur, prix, lien). Changer un prix ici met tout le classeur à jour.</t>
  </si>
  <si>
    <t xml:space="preserve">Cellules modifiables (texte bleu)</t>
  </si>
  <si>
    <t xml:space="preserve">Qté dans les feuilles projet ; Rechange dans Global ; Prix du lot et Taille du lot dans Prix. Le reste est calculé.</t>
  </si>
  <si>
    <t xml:space="preserve">Statuts et couleurs</t>
  </si>
  <si>
    <t xml:space="preserve">À acheter — compté dans les totaux. Fond rose = introuvable au Maroc, à mettre dans le colis LCSC combiné avec la commande JLCPCB (COMMANDE.md §2).</t>
  </si>
  <si>
    <t xml:space="preserve">Option — fond jaune : utile mais pas indispensable (BME280, INA226 supplémentaires, microSD). Total séparé.</t>
  </si>
  <si>
    <t xml:space="preserve">Déjà possédé — fond vert : TP4056, batterie AGM, régulateur PWM, panneau 12 V. Valeur indicative, hors total.</t>
  </si>
  <si>
    <t xml:space="preserve">Points à retenir avant d'acheter</t>
  </si>
  <si>
    <t xml:space="preserve">1. Trois pièces ne se trouvent pas au Maroc : les deux TVS (1.5KE6.8A, 1.5KE18A) → LCSC ; prévoir aussi le PCB (JLCPCB). Les ajouter au même colis.</t>
  </si>
  <si>
    <t xml:space="preserve">2. Boîtiers : la carte mesure 278 × 135 mm → coffret d'au moins 300 × 200 mm.</t>
  </si>
  <si>
    <t xml:space="preserve">3. Borniers KF301 vendus « pas 5,0 mm » : ils entrent dans les trous 5,08 en 2 et 3 pôles ; en 4 pôles, présenter avant de souder.</t>
  </si>
  <si>
    <t xml:space="preserve">4. Modules I2C (OLED, DS3231, BME280, INA226) : vérifier l'ordre des broches avant d'enficher (supports = GND-VCC-SCL-SDA), sinon fils Dupont.</t>
  </si>
  <si>
    <t xml:space="preserve">5. Lecteur microSD « pour Arduino » : type Catalex (régulateur + tampon) = ne convient pas. Chercher un module 3,3 V direct.</t>
  </si>
  <si>
    <t xml:space="preserve">6. Fusible T1A : demander explicitement un temporisé (T). Porte-fusible : mesurer l'entraxe des pattes (22,0–22,6 mm).</t>
  </si>
  <si>
    <t xml:space="preserve">7. Pas de panneau 6 V 5 W au Maroc : 6 V 3,8 W retenu (marge ×3 en hiver selon ALIMENTATION.md).</t>
  </si>
  <si>
    <t xml:space="preserve">8. Presse-étoupes, porte-fusible lame et fil unipolaire : pas en ligne, quincaillerie / électricien / accessoires auto.</t>
  </si>
  <si>
    <t xml:space="preserve">9. Règle absolue (D5 en pont de fil) : ne JAMAIS brancher l'USB du DevKit quand la carte est alimentée. Flasher carte hors tension, ou en OTA.</t>
  </si>
  <si>
    <t xml:space="preserve">Mise à jour</t>
  </si>
  <si>
    <t xml:space="preserve">Classeur généré depuis la BOM : `python3 achats/build_achats.py` (dossier hardware/n3-universal). Prix : achats/prix.py ; pose par profil : achats/inventaire.py. La CI échoue si la BOM change sans que cette liste suive.</t>
  </si>
  <si>
    <t xml:space="preserve">Limites</t>
  </si>
  <si>
    <t xml:space="preserve">Prix tels qu'affichés au relevé ; stocks variables (plusieurs articles en rupture, signalés). Certains prix viennent d'une fourchette de variantes (bas de fourchette retenu) : à confirmer au panier. Les quantités de câble et de presse-étoupes sont des estimations à ajuster à l'installation.</t>
  </si>
  <si>
    <t xml:space="preserve">Liste globale d'achats — 4 unités n3-universal (msp1, n3pp, ffp5cs 230 V, ffp5cs 12 V)</t>
  </si>
  <si>
    <t xml:space="preserve">Quantités tirées des feuilles projet (formules) + rechange conseillée (bleu, modifiable), arrondies aux lots vendus par les boutiques. Prix du 18/10/2026, feuille Prix.</t>
  </si>
  <si>
    <t xml:space="preserve">Total à acheter, 4 unités, arrondi aux lots (DH)</t>
  </si>
  <si>
    <t xml:space="preserve">  dont outillage et consommables partagés (DH)</t>
  </si>
  <si>
    <t xml:space="preserve">Options, si toutes prises (DH)</t>
  </si>
  <si>
    <t xml:space="preserve">Déjà possédé — valeur indicative (DH)</t>
  </si>
  <si>
    <t xml:space="preserve">Lignes à acheter sans prix en ligne (import LCSC, quincaillerie, PCB)</t>
  </si>
  <si>
    <t xml:space="preserve">Coût d'UNE unité (à l'unité, sans arrondi aux lots)</t>
  </si>
  <si>
    <t xml:space="preserve">msp1</t>
  </si>
  <si>
    <t xml:space="preserve">n3pp</t>
  </si>
  <si>
    <t xml:space="preserve">ffp5cs 230V</t>
  </si>
  <si>
    <t xml:space="preserve">ffp5cs 12V</t>
  </si>
  <si>
    <t xml:space="preserve">À acheter (DH)</t>
  </si>
  <si>
    <t xml:space="preserve">Options (DH)</t>
  </si>
  <si>
    <t xml:space="preserve">ID</t>
  </si>
  <si>
    <t xml:space="preserve">Catégorie</t>
  </si>
  <si>
    <t xml:space="preserve">Article</t>
  </si>
  <si>
    <t xml:space="preserve">Statut</t>
  </si>
  <si>
    <t xml:space="preserve">Total 4 unités</t>
  </si>
  <si>
    <t xml:space="preserve">Rechange</t>
  </si>
  <si>
    <t xml:space="preserve">Qté à acheter</t>
  </si>
  <si>
    <t xml:space="preserve">Taille du lot</t>
  </si>
  <si>
    <t xml:space="preserve">Nb de lots</t>
  </si>
  <si>
    <t xml:space="preserve">Prix du lot (DH)</t>
  </si>
  <si>
    <t xml:space="preserve">Coût (DH)</t>
  </si>
  <si>
    <t xml:space="preserve">Fournisseur</t>
  </si>
  <si>
    <t xml:space="preserve">Source</t>
  </si>
  <si>
    <t xml:space="preserve">Remarque achat</t>
  </si>
  <si>
    <t xml:space="preserve">Lien</t>
  </si>
  <si>
    <t xml:space="preserve">PCB</t>
  </si>
  <si>
    <t xml:space="preserve">1. Carte et cerveau</t>
  </si>
  <si>
    <t xml:space="preserve">Circuit imprimé n3-universal rev 0.2.2 (JLCPCB, 2 oz)</t>
  </si>
  <si>
    <t xml:space="preserve">À acheter</t>
  </si>
  <si>
    <t xml:space="preserve">Commande unique de 10 cartes : ≈ 55–85 $ les 5 + port (COMMANDE.md) ; prix réel au devis JLCPCB.</t>
  </si>
  <si>
    <t xml:space="preserve">lien</t>
  </si>
  <si>
    <t xml:space="preserve">ESP32_DEVKIT</t>
  </si>
  <si>
    <t xml:space="preserve">ESP32 DevKit V1 30 broches (WROOM-32)</t>
  </si>
  <si>
    <t xml:space="preserve">ESP32 WROOM CP2102 30 broches. Ne pas importer (ANRT). Repli A2itronic 120 DH.</t>
  </si>
  <si>
    <t xml:space="preserve">R_220</t>
  </si>
  <si>
    <t xml:space="preserve">2. Résistances</t>
  </si>
  <si>
    <t xml:space="preserve">Résistance 220 Ω 1/4 W</t>
  </si>
  <si>
    <t xml:space="preserve">1/4 W 1 %, vendues par 5.</t>
  </si>
  <si>
    <t xml:space="preserve">R_1k</t>
  </si>
  <si>
    <t xml:space="preserve">Résistance 1 kΩ 1/4 W</t>
  </si>
  <si>
    <t xml:space="preserve">R_2k</t>
  </si>
  <si>
    <t xml:space="preserve">Résistance 2 kΩ 1/4 W (2,2 kΩ convient)</t>
  </si>
  <si>
    <t xml:space="preserve">R_4.7k</t>
  </si>
  <si>
    <t xml:space="preserve">Résistance 4,7 kΩ 1/4 W</t>
  </si>
  <si>
    <t xml:space="preserve">R_10k</t>
  </si>
  <si>
    <t xml:space="preserve">Résistance 10 kΩ 1/4 W</t>
  </si>
  <si>
    <t xml:space="preserve">R_18k</t>
  </si>
  <si>
    <t xml:space="preserve">Résistance 18 kΩ 1/4 W</t>
  </si>
  <si>
    <t xml:space="preserve">R_100k</t>
  </si>
  <si>
    <t xml:space="preserve">Résistance 100 kΩ 1/4 W</t>
  </si>
  <si>
    <t xml:space="preserve">C_100n</t>
  </si>
  <si>
    <t xml:space="preserve">3. Condensateurs</t>
  </si>
  <si>
    <t xml:space="preserve">Condensateur céramique 100 nF (pas 5 mm)</t>
  </si>
  <si>
    <t xml:space="preserve">Céramique 50 V.</t>
  </si>
  <si>
    <t xml:space="preserve">C_10u25</t>
  </si>
  <si>
    <t xml:space="preserve">Condensateur électrolytique 10 µF 25 V</t>
  </si>
  <si>
    <t xml:space="preserve">Proposé en 50 V (mieux que 25 V).</t>
  </si>
  <si>
    <t xml:space="preserve">C_100u16</t>
  </si>
  <si>
    <t xml:space="preserve">Condensateur électrolytique 100 µF 16 V</t>
  </si>
  <si>
    <t xml:space="preserve">5×7 mm.</t>
  </si>
  <si>
    <t xml:space="preserve">C_470u16</t>
  </si>
  <si>
    <t xml:space="preserve">Condensateur électrolytique 470 µF 16 V (25 V convient)</t>
  </si>
  <si>
    <t xml:space="preserve">Proposé en 25 V, 8×12 mm (empreinte 8 mm) : convient.</t>
  </si>
  <si>
    <t xml:space="preserve">C_470u25</t>
  </si>
  <si>
    <t xml:space="preserve">Condensateur électrolytique 470 µF 25 V (35 V convient)</t>
  </si>
  <si>
    <t xml:space="preserve">8×12 mm sur une empreinte 10 mm / pas 5 : écarter légèrement les pattes.</t>
  </si>
  <si>
    <t xml:space="preserve">C_1000u16</t>
  </si>
  <si>
    <t xml:space="preserve">Condensateur électrolytique 1000 µF 16 V (diam. 10 mm)</t>
  </si>
  <si>
    <t xml:space="preserve">Page ambiguë 16/25 V : les deux conviennent, mais diamètre ≤ 10 mm et pas 5 mm.</t>
  </si>
  <si>
    <t xml:space="preserve">1N4007</t>
  </si>
  <si>
    <t xml:space="preserve">4. Semi-conducteurs</t>
  </si>
  <si>
    <t xml:space="preserve">Diode 1N4007 (roue libre des bobines de relais)</t>
  </si>
  <si>
    <t xml:space="preserve">BAT85</t>
  </si>
  <si>
    <t xml:space="preserve">Diode Schottky BAT85 / BAT43 / BAT42 (DO-35)</t>
  </si>
  <si>
    <t xml:space="preserve">Boîtier DO-34, se pose sur les trous DO-35. BAT43/42/54 introuvables au Maroc.</t>
  </si>
  <si>
    <t xml:space="preserve">TVS_6V8</t>
  </si>
  <si>
    <t xml:space="preserve">Diode TVS 1.5KE6.8A (ou P6KE6.8A)</t>
  </si>
  <si>
    <t xml:space="preserve">Introuvable au Maroc : LCSC C412500 (repli P6KE6.8A C409413), colis combiné JLCPCB.</t>
  </si>
  <si>
    <t xml:space="preserve">TVS_18</t>
  </si>
  <si>
    <t xml:space="preserve">Diode TVS 1.5KE18A (ou P6KE18A) — PAS 15 V</t>
  </si>
  <si>
    <t xml:space="preserve">Introuvable au Maroc : LCSC C1666858. Ne pas remplacer par une 15 V.</t>
  </si>
  <si>
    <t xml:space="preserve">Z15</t>
  </si>
  <si>
    <t xml:space="preserve">Diode Zener 15 V 1 W 1N4744A</t>
  </si>
  <si>
    <t xml:space="preserve">Zener 1 W, variante 15 V (équivalent 1N4744A).</t>
  </si>
  <si>
    <t xml:space="preserve">BC337</t>
  </si>
  <si>
    <t xml:space="preserve">Transistor NPN BC337-40 (TO-92)</t>
  </si>
  <si>
    <t xml:space="preserve">Annoncé BC337B/-40 : tout BC337 convient (brochage C-B-E).</t>
  </si>
  <si>
    <t xml:space="preserve">IRF4905</t>
  </si>
  <si>
    <t xml:space="preserve">MOSFET P IRF4905 (TO-220)</t>
  </si>
  <si>
    <t xml:space="preserve">Stock non vérifié : appeler avant. Repli LCSC C2564.</t>
  </si>
  <si>
    <t xml:space="preserve">LD1117</t>
  </si>
  <si>
    <t xml:space="preserve">Régulateur LD1117V33 TO-220 (1=GND 2=OUT 3=IN)</t>
  </si>
  <si>
    <t xml:space="preserve">LM1117T-3.3 TO-220, même brochage que le LD1117V33. Pas de version SOT-223 (CMS).</t>
  </si>
  <si>
    <t xml:space="preserve">LED_R</t>
  </si>
  <si>
    <t xml:space="preserve">LED 5 mm rouge</t>
  </si>
  <si>
    <t xml:space="preserve">LED_V</t>
  </si>
  <si>
    <t xml:space="preserve">LED 5 mm verte</t>
  </si>
  <si>
    <t xml:space="preserve">SRD05</t>
  </si>
  <si>
    <t xml:space="preserve">5. Relais et protection secteur</t>
  </si>
  <si>
    <t xml:space="preserve">Relais Songle SRD-05VDC-SL-C (composant seul, pas le module)</t>
  </si>
  <si>
    <t xml:space="preserve">Composant seul 5 broches, pas un module relais. 324 en stock.</t>
  </si>
  <si>
    <t xml:space="preserve">VARISTANCE</t>
  </si>
  <si>
    <t xml:space="preserve">Varistance 14D471K (ou 10D471K), pas 7,5 mm</t>
  </si>
  <si>
    <t xml:space="preserve">Variante 470 V (471).</t>
  </si>
  <si>
    <t xml:space="preserve">PORTEFUS_5x20</t>
  </si>
  <si>
    <t xml:space="preserve">Porte-fusible 5×20 pour circuit imprimé, à capot (pas 22–22,6 mm)</t>
  </si>
  <si>
    <t xml:space="preserve">Mesurer l'entraxe des pattes AVANT achat : 22,0–22,6 mm. Sinon LCSC C3131.</t>
  </si>
  <si>
    <t xml:space="preserve">FUS_T1A</t>
  </si>
  <si>
    <t xml:space="preserve">Fusible verre 5×20 temporisé T1A</t>
  </si>
  <si>
    <t xml:space="preserve">Le type T (temporisé) n'est pas indiqué : demander « T1A » ; un fusible rapide F peut sauter au branchement.</t>
  </si>
  <si>
    <t xml:space="preserve">HLK20M05</t>
  </si>
  <si>
    <t xml:space="preserve">Module Hi-Link HLK-20M05 (230 V → 5 V 3,6 A)</t>
  </si>
  <si>
    <t xml:space="preserve">Authenticité non garantie : mesurer les entraxes des broches (COMMANDE.md §0.3) avant de souder.</t>
  </si>
  <si>
    <t xml:space="preserve">BORNIER_2P</t>
  </si>
  <si>
    <t xml:space="preserve">6. Connectique carte</t>
  </si>
  <si>
    <t xml:space="preserve">Bornier à vis 2 pôles pas 5,08 (KF301-2P)</t>
  </si>
  <si>
    <t xml:space="preserve">KF301 annoncé au pas de 5,0 mm : se monte sur les trous 5,08 (écart 0,08 mm).</t>
  </si>
  <si>
    <t xml:space="preserve">BORNIER_3P</t>
  </si>
  <si>
    <t xml:space="preserve">Bornier à vis 3 pôles pas 5,08 (KF301-3P)</t>
  </si>
  <si>
    <t xml:space="preserve">KF301 pas 5,0 mm : se monte sur les trous 5,08.</t>
  </si>
  <si>
    <t xml:space="preserve">BORNIER_4P</t>
  </si>
  <si>
    <t xml:space="preserve">Bornier à vis 4 pôles pas 5,08 (ou 2+2 emboîtés)</t>
  </si>
  <si>
    <t xml:space="preserve">KF128-4P. Sur 4 pôles, l'écart 5,0/5,08 cumule 0,24 mm : présenter avant de souder, ou 2 × KF301-2P emboîtés.</t>
  </si>
  <si>
    <t xml:space="preserve">BARRETTE_F</t>
  </si>
  <si>
    <t xml:space="preserve">Barrette femelle sécable 1×40 pas 2,54</t>
  </si>
  <si>
    <t xml:space="preserve">Une broche perdue à chaque coupe (compté).</t>
  </si>
  <si>
    <t xml:space="preserve">BARRETTE_M</t>
  </si>
  <si>
    <t xml:space="preserve">Barrette mâle sécable 1×40 pas 2,54</t>
  </si>
  <si>
    <t xml:space="preserve">CAVALIER</t>
  </si>
  <si>
    <t xml:space="preserve">Cavalier (jumper) 2,54 mm</t>
  </si>
  <si>
    <t xml:space="preserve">Prix du plus petit lot (bas de la fourchette affichée).</t>
  </si>
  <si>
    <t xml:space="preserve">JACK_DC</t>
  </si>
  <si>
    <t xml:space="preserve">Jack DC femelle 5,5×2,1 pour circuit imprimé (DC-005)</t>
  </si>
  <si>
    <t xml:space="preserve">DC-005 traversant 3 broches.</t>
  </si>
  <si>
    <t xml:space="preserve">FIL</t>
  </si>
  <si>
    <t xml:space="preserve">Pont de fil à la place de D5 (chute de patte de résistance)</t>
  </si>
  <si>
    <t xml:space="preserve">Chute de patte de résistance : gratuit.</t>
  </si>
  <si>
    <t xml:space="preserve">TP_FIL</t>
  </si>
  <si>
    <t xml:space="preserve">Points de test TP1-TP4 : boucle de fil (chute de patte)</t>
  </si>
  <si>
    <t xml:space="preserve">Chute de patte : gratuit.</t>
  </si>
  <si>
    <t xml:space="preserve">DHT11</t>
  </si>
  <si>
    <t xml:space="preserve">7. Capteurs et actionneurs</t>
  </si>
  <si>
    <t xml:space="preserve">Capteur température/humidité DHT11</t>
  </si>
  <si>
    <t xml:space="preserve">Capteur nu 4 broches : 1=VCC 2=DATA 3=libre 4=GND (pull-up déjà sur la carte). DHT22 : 49,50 DH.</t>
  </si>
  <si>
    <t xml:space="preserve">BME280</t>
  </si>
  <si>
    <t xml:space="preserve">Module BME280 I2C (température, humidité, pression)</t>
  </si>
  <si>
    <t xml:space="preserve">Option</t>
  </si>
  <si>
    <t xml:space="preserve">Prendre la version 3,3 V (pas un BMP280, sans humidité). Raccorder par fils Dupont.</t>
  </si>
  <si>
    <t xml:space="preserve">DS18B20</t>
  </si>
  <si>
    <t xml:space="preserve">Sonde DS18B20 étanche (câble 1 m)</t>
  </si>
  <si>
    <t xml:space="preserve">Étanche ~1 m. Shop4Makers 36 DH mais en rupture.</t>
  </si>
  <si>
    <t xml:space="preserve">LDR</t>
  </si>
  <si>
    <t xml:space="preserve">Photorésistance LDR GL5528</t>
  </si>
  <si>
    <t xml:space="preserve">GL5528 introuvable à l'unité : GM5539 (plus résistante dans le noir, sans effet en plein jour). Les 4 LDR du tracker du même lot.</t>
  </si>
  <si>
    <t xml:space="preserve">PLUIE</t>
  </si>
  <si>
    <t xml:space="preserve">Module capteur de pluie FC-37 / YL-83 (sortie DO)</t>
  </si>
  <si>
    <t xml:space="preserve">Plaque + module comparateur ; utiliser la sortie DO.</t>
  </si>
  <si>
    <t xml:space="preserve">SOL_CAPA</t>
  </si>
  <si>
    <t xml:space="preserve">Capteur d'humidité du sol capacitif v1.2 (sortie AO)</t>
  </si>
  <si>
    <t xml:space="preserve">Étalonner sec / dans l'eau sous 3,3 V. Vernir le bord de la carte du capteur (électronique exposée).</t>
  </si>
  <si>
    <t xml:space="preserve">HCSR04</t>
  </si>
  <si>
    <t xml:space="preserve">Capteur ultrason HC-SR04</t>
  </si>
  <si>
    <t xml:space="preserve">SG90</t>
  </si>
  <si>
    <t xml:space="preserve">Servomoteur SG90</t>
  </si>
  <si>
    <t xml:space="preserve">Version 180° (pas 360° « rotation continue »).</t>
  </si>
  <si>
    <t xml:space="preserve">OLED</t>
  </si>
  <si>
    <t xml:space="preserve">Écran OLED 0,96" SSD1306 I2C 128×64</t>
  </si>
  <si>
    <t xml:space="preserve">Vérifier l'ordre des broches : J13 = GND-VCC-SCL-SDA. Si le module est VCC-GND-…, NE PAS l'enficher : fils Dupont.</t>
  </si>
  <si>
    <t xml:space="preserve">DS3231</t>
  </si>
  <si>
    <t xml:space="preserve">Module horloge RTC DS3231 (ZS-042)</t>
  </si>
  <si>
    <t xml:space="preserve">Brochage ZS-042 ≠ J14 : raccorder par fils Dupont (GND, VCC, SCL, SDA).</t>
  </si>
  <si>
    <t xml:space="preserve">CR2032</t>
  </si>
  <si>
    <t xml:space="preserve">Pile bouton CR2032</t>
  </si>
  <si>
    <t xml:space="preserve">INA226</t>
  </si>
  <si>
    <t xml:space="preserve">Module INA226 (mesure tension/courant I2C)</t>
  </si>
  <si>
    <t xml:space="preserve">Seul INA226 trouvé au Maroc. Raccorder par fils Dupont selon le brochage du module.</t>
  </si>
  <si>
    <t xml:space="preserve">MICROSD</t>
  </si>
  <si>
    <t xml:space="preserve">Module lecteur microSD SPI 3,3 V direct</t>
  </si>
  <si>
    <t xml:space="preserve">ATTENTION : le module « pour Arduino » courant a un régulateur + tampon (type Catalex) : NE CONVIENT PAS. Chercher un module 3,3 V direct.</t>
  </si>
  <si>
    <t xml:space="preserve">1N4007_EXT</t>
  </si>
  <si>
    <t xml:space="preserve">Diode 1N4007 aux bornes d'une pompe DC (roue libre)</t>
  </si>
  <si>
    <t xml:space="preserve">TP4056</t>
  </si>
  <si>
    <t xml:space="preserve">8. Alimentation hors carte</t>
  </si>
  <si>
    <t xml:space="preserve">Module chargeur TP4056 avec protection (DW01)</t>
  </si>
  <si>
    <t xml:space="preserve">Déjà possédé</t>
  </si>
  <si>
    <t xml:space="preserve">Version avec protection DW01A + FS8205A, entrée USB-C.</t>
  </si>
  <si>
    <t xml:space="preserve">BOOST</t>
  </si>
  <si>
    <t xml:space="preserve">Module boost MT3608 (réglé 5,1 V)</t>
  </si>
  <si>
    <t xml:space="preserve">CELL_18650</t>
  </si>
  <si>
    <t xml:space="preserve">Pile Li-ion 18650 de marque (≥ 2 500 mAh)</t>
  </si>
  <si>
    <t xml:space="preserve">LG INR18650MH1 3 200 mAh, cellule nue flat-top.</t>
  </si>
  <si>
    <t xml:space="preserve">SUPPORT_18650</t>
  </si>
  <si>
    <t xml:space="preserve">Support de pile 18650 (1 cellule)</t>
  </si>
  <si>
    <t xml:space="preserve">PANNEAU_6V</t>
  </si>
  <si>
    <t xml:space="preserve">Panneau solaire 6 V 5–6 W</t>
  </si>
  <si>
    <t xml:space="preserve">6 V 3,8 W (pas de 5 W au Maroc) : ~7 Wh/j en hiver pour ~2,3 consommés, marge ×3. Sortie USB = se branche sur l'USB-C du TP4056.</t>
  </si>
  <si>
    <t xml:space="preserve">CHARGEUR_5V</t>
  </si>
  <si>
    <t xml:space="preserve">Chargeur 5 V 2 A (ou 3 A) de marque</t>
  </si>
  <si>
    <t xml:space="preserve">Seul 5 V 2 A en stock avec un vrai jack 5,5×2,1 (sans marque). Mieux : chargeur de téléphone de marque + cordon USB→jack.</t>
  </si>
  <si>
    <t xml:space="preserve">CABLE_USB_JACK</t>
  </si>
  <si>
    <t xml:space="preserve">Cordon USB-A → jack 5,5×2,1 court</t>
  </si>
  <si>
    <t xml:space="preserve">En rupture lors du relevé (A2itronic idem, 35 DH).</t>
  </si>
  <si>
    <t xml:space="preserve">BUCK</t>
  </si>
  <si>
    <t xml:space="preserve">Module buck MP1584EN (12 V → 5,1 V)</t>
  </si>
  <si>
    <t xml:space="preserve">Entrée 28 V max : convient au bus AGM.</t>
  </si>
  <si>
    <t xml:space="preserve">FUSIBLE_LAME</t>
  </si>
  <si>
    <t xml:space="preserve">Porte-fusible lame en ligne + fusible 10 A</t>
  </si>
  <si>
    <t xml:space="preserve">Porte-fusible lame en ligne non trouvé en ligne : magasin d'accessoires auto (fusible ATO/mini 10 A).</t>
  </si>
  <si>
    <t xml:space="preserve">AGM_12V</t>
  </si>
  <si>
    <t xml:space="preserve">Batterie AGM 12 V (12 Ah)</t>
  </si>
  <si>
    <t xml:space="preserve">Prix de référence (Sunlight 12 Ah AGM, en rupture ; 9 Ah générique 249 DH).</t>
  </si>
  <si>
    <t xml:space="preserve">PWM_SOLAIRE</t>
  </si>
  <si>
    <t xml:space="preserve">Régulateur de charge solaire PWM 12 V 10 A</t>
  </si>
  <si>
    <t xml:space="preserve">Prix de référence.</t>
  </si>
  <si>
    <t xml:space="preserve">PANNEAU_12V</t>
  </si>
  <si>
    <t xml:space="preserve">Panneau solaire 12 V</t>
  </si>
  <si>
    <t xml:space="preserve">Prix de référence (20 W).</t>
  </si>
  <si>
    <t xml:space="preserve">CORDON_SECTEUR</t>
  </si>
  <si>
    <t xml:space="preserve">Cordon secteur 2 fils avec fiche</t>
  </si>
  <si>
    <t xml:space="preserve">Probablement à embase C7 : couper l'embase, dénuder, embouts. Ou cordon d'électricien.</t>
  </si>
  <si>
    <t xml:space="preserve">VIS_M3</t>
  </si>
  <si>
    <t xml:space="preserve">9. Mécanique et câblage</t>
  </si>
  <si>
    <t xml:space="preserve">Vis M3 nylon + écrou (H1-H7 ; nylon OBLIGATOIRE en H1/H5)</t>
  </si>
  <si>
    <t xml:space="preserve">Kit nylon : 60 vis, 60 écrous, 80 entretoises 6–12 mm ; un kit suffit pour les 4 cartes.</t>
  </si>
  <si>
    <t xml:space="preserve">ENTRETOISE_M3</t>
  </si>
  <si>
    <t xml:space="preserve">Entretoise M3 nylon ~10 mm</t>
  </si>
  <si>
    <t xml:space="preserve">Incluses dans le kit nylon M3.</t>
  </si>
  <si>
    <t xml:space="preserve">BOITIER</t>
  </si>
  <si>
    <t xml:space="preserve">Boîtier étanche IP65 (~200×150 mm ou plus)</t>
  </si>
  <si>
    <t xml:space="preserve">La carte fait 278 × 135 mm : coffret ≥ 300 × 200 mm. Prix affiché, taille à confirmer avec le vendeur.</t>
  </si>
  <si>
    <t xml:space="preserve">PRESSE_ETOUPE</t>
  </si>
  <si>
    <t xml:space="preserve">Presse-étoupe PG7 / PG9</t>
  </si>
  <si>
    <t xml:space="preserve">Non trouvé en ligne au Maroc : électricien / quincaillerie.</t>
  </si>
  <si>
    <t xml:space="preserve">FIL_05</t>
  </si>
  <si>
    <t xml:space="preserve">Fil souple 0,5 mm² (mètre)</t>
  </si>
  <si>
    <t xml:space="preserve">Câble souple 0,75 mm² (pas de 0,5 mm² en ligne).</t>
  </si>
  <si>
    <t xml:space="preserve">FIL_15</t>
  </si>
  <si>
    <t xml:space="preserve">Fil souple 1,5 mm² (mètre)</t>
  </si>
  <si>
    <t xml:space="preserve">Câble souple 2 × 1,5 mm² (aller + retour d'une charge).</t>
  </si>
  <si>
    <t xml:space="preserve">Outillage et consommables partagés (une fois pour les 4 unités)</t>
  </si>
  <si>
    <t xml:space="preserve">KIT_EMBOUTS</t>
  </si>
  <si>
    <t xml:space="preserve">Outillage partagé</t>
  </si>
  <si>
    <t xml:space="preserve">Pince à sertir + kit d'embouts de câblage (ferrules)</t>
  </si>
  <si>
    <t xml:space="preserve">Tout fil souple vissé dans un bornier reçoit un embout serti. Pince à cliquet + 1 200 embouts 0,25–10 mm².</t>
  </si>
  <si>
    <t xml:space="preserve">VERNIS</t>
  </si>
  <si>
    <t xml:space="preserve">Vernis de tropicalisation (Plastik 70 / Relife 70)</t>
  </si>
  <si>
    <t xml:space="preserve">Après montage et test ; masquer borniers, supports et cavaliers. Tropicoat, en rupture lors du relevé.</t>
  </si>
  <si>
    <t xml:space="preserve">DUPONT</t>
  </si>
  <si>
    <t xml:space="preserve">Fils Dupont mâle-femelle 20 cm</t>
  </si>
  <si>
    <t xml:space="preserve">Raccordement des modules I2C dont le brochage diffère des supports, essais sur table. Lot de 10 fils 20 cm.</t>
  </si>
  <si>
    <t xml:space="preserve">Catalogue des prix — fournisseurs marocains</t>
  </si>
  <si>
    <t xml:space="preserve">Relevé le 18/10/2026 sur les pages produits, prix en DH tels qu'affichés (TTC). Cellules bleues = à mettre à jour ; toutes les autres feuilles se recalculent depuis celle-ci.</t>
  </si>
  <si>
    <t xml:space="preserve">Unité de vente</t>
  </si>
  <si>
    <t xml:space="preserve">Prix unitaire (DH)</t>
  </si>
  <si>
    <t xml:space="preserve">Relevé le</t>
  </si>
  <si>
    <t xml:space="preserve">JLCPCB</t>
  </si>
  <si>
    <t xml:space="preserve">carte</t>
  </si>
  <si>
    <t xml:space="preserve">Import</t>
  </si>
  <si>
    <t xml:space="preserve">18/10/2026</t>
  </si>
  <si>
    <t xml:space="preserve">Shop4Makers</t>
  </si>
  <si>
    <t xml:space="preserve">pièce</t>
  </si>
  <si>
    <t xml:space="preserve">Maroc</t>
  </si>
  <si>
    <t xml:space="preserve">MicroPlanet</t>
  </si>
  <si>
    <t xml:space="preserve">lot de 5</t>
  </si>
  <si>
    <t xml:space="preserve">A2itronic</t>
  </si>
  <si>
    <t xml:space="preserve">Moussasoft</t>
  </si>
  <si>
    <t xml:space="preserve">LCSC</t>
  </si>
  <si>
    <t xml:space="preserve">Import LCSC</t>
  </si>
  <si>
    <t xml:space="preserve">Megma</t>
  </si>
  <si>
    <t xml:space="preserve">barrette 1×40</t>
  </si>
  <si>
    <t xml:space="preserve">lot de 10</t>
  </si>
  <si>
    <t xml:space="preserve">ShoppingMaroc</t>
  </si>
  <si>
    <t xml:space="preserve">—</t>
  </si>
  <si>
    <t xml:space="preserve">Jumia.ma (Safe Buys)</t>
  </si>
  <si>
    <t xml:space="preserve">Accessoires auto</t>
  </si>
  <si>
    <t xml:space="preserve">Jumia.ma</t>
  </si>
  <si>
    <t xml:space="preserve">Jumia.ma (AM NEWS)</t>
  </si>
  <si>
    <t xml:space="preserve">Jumia.ma (XARIUM TECH)</t>
  </si>
  <si>
    <t xml:space="preserve">La-Librairie.ma</t>
  </si>
  <si>
    <t xml:space="preserve">Dsindustrie</t>
  </si>
  <si>
    <t xml:space="preserve">kit 200 pièces (60 vis)</t>
  </si>
  <si>
    <t xml:space="preserve">inclus dans le kit</t>
  </si>
  <si>
    <t xml:space="preserve">EnergyMarket</t>
  </si>
  <si>
    <t xml:space="preserve">Quincaillerie</t>
  </si>
  <si>
    <t xml:space="preserve">ElectroDelivery</t>
  </si>
  <si>
    <t xml:space="preserve">mètre</t>
  </si>
  <si>
    <t xml:space="preserve">kit</t>
  </si>
  <si>
    <t xml:space="preserve">Pince à cliquet + 1 200 embouts 0,25–10 mm².</t>
  </si>
  <si>
    <t xml:space="preserve">bombe 650 ml</t>
  </si>
  <si>
    <t xml:space="preserve">Tropicoat, en rupture lors du relevé.</t>
  </si>
  <si>
    <t xml:space="preserve">Lot de 10 fils 20 cm.</t>
  </si>
  <si>
    <t xml:space="preserve">msp1 — station météo + tracker (18650 + solaire)</t>
  </si>
  <si>
    <t xml:space="preserve">Carte n3-universal rev 0.2.2 — composants à poser et à acheter pour UNE unité. Prix du 18/10/2026 (feuille Prix). Les quantités (bleu) sont modifiables ; l'achat groupé arrondi aux lots est dans « Global ».</t>
  </si>
  <si>
    <t xml:space="preserve">Consignes de pose de ce profil</t>
  </si>
  <si>
    <t xml:space="preserve">• Chaîne d'alimentation : panneau 6 V → TP4056 → 18650 → boost réglé à 5,1 V → J1 (bornier).</t>
  </si>
  <si>
    <t xml:space="preserve">• JP1 ôté (parqué en 2-3) : capteurs, OLED et servos coupés pendant le sommeil.</t>
  </si>
  <si>
    <t xml:space="preserve">• JP12 en 2-3 (pont 1S 100k/100k) ; JP16-JP19 FERMÉS (LDR tracker) ; JP21 FERMÉ (DHT extérieur) ; JP13-JP15 et JP20 OUVERTS.</t>
  </si>
  <si>
    <t xml:space="preserve">• NE PAS poser : LED5/R13, R17-R19, R27, tout l'étage relais (K1-K6…), Hi-Link, section 12 V.</t>
  </si>
  <si>
    <t xml:space="preserve">• Firmware : seuil de veille d'urgence à régler pour ≥ 3,3 V cellule. Cellule à l'ombre.</t>
  </si>
  <si>
    <t xml:space="preserve">Total à acheter, une unité (DH)</t>
  </si>
  <si>
    <t xml:space="preserve">Articles à acheter sans prix en ligne (import LCSC, quincaillerie, PCB)</t>
  </si>
  <si>
    <t xml:space="preserve">Réf. carte</t>
  </si>
  <si>
    <t xml:space="preserve">Rôle</t>
  </si>
  <si>
    <t xml:space="preserve">Qté</t>
  </si>
  <si>
    <t xml:space="preserve">Remarques</t>
  </si>
  <si>
    <t xml:space="preserve">Circuit imprimé n3-universal rev 0.2.2</t>
  </si>
  <si>
    <t xml:space="preserve">A1</t>
  </si>
  <si>
    <t xml:space="preserve">Module ESP32-WROOM-32 DevKit V1 30 broches, sur 2 supports 1x15</t>
  </si>
  <si>
    <t xml:space="preserve">Enfiché sur ses supports, jamais soudé. Vérifier l'écart des rangées (25,4 ou 27,94 mm : support droit sur A ou A').</t>
  </si>
  <si>
    <t xml:space="preserve">R20, R21</t>
  </si>
  <si>
    <t xml:space="preserve">Série signal servo gros; Série signal servo petits</t>
  </si>
  <si>
    <t xml:space="preserve">R34, R49, R50, R51, R52, R53, R54</t>
  </si>
  <si>
    <t xml:space="preserve">Base commande gate; Série ADC_VBAT; Série ADC_A; Série ADC_B ; …</t>
  </si>
  <si>
    <t xml:space="preserve">R24, R25, R26</t>
  </si>
  <si>
    <t xml:space="preserve">Pull-up bus 1-Wire DS18B20; Pull-up I2C SDA; Pull-up I2C SCL</t>
  </si>
  <si>
    <t xml:space="preserve">R23, R43, R44, R45, R46, R47, R48</t>
  </si>
  <si>
    <t xml:space="preserve">Pull-up data DHT11; Bas de pont ADC_A (en circuit si JP16 FERMÉ : LDR msp; Bas de pont ADC_B (en circuit si JP17 FERMÉ : LDR msp; Bas de pont ADC_C (en circuit si JP18 FERMÉ : LDR msp ; …</t>
  </si>
  <si>
    <t xml:space="preserve">R39</t>
  </si>
  <si>
    <t xml:space="preserve">Bas du pont VBAT profil bus 12V : 100k/18k</t>
  </si>
  <si>
    <t xml:space="preserve">R35, R38, R57, R58</t>
  </si>
  <si>
    <t xml:space="preserve">Pull-up grille P-MOSFET vers +5V; Haut du pont VBAT; Grille de Q12 vers GND; Bas du pont VBAT profil 1S : 100k/100k</t>
  </si>
  <si>
    <t xml:space="preserve">C3, C4, C6, C7, C8, C9, C10, C13</t>
  </si>
  <si>
    <t xml:space="preserve">Découplage 3V3 capteurs; Découplage 3V3 I2C; Filtre ADC ADC_A; Filtre ADC ADC_B ; …</t>
  </si>
  <si>
    <t xml:space="preserve">C11</t>
  </si>
  <si>
    <t xml:space="preserve">Entrée LDO</t>
  </si>
  <si>
    <t xml:space="preserve">C12</t>
  </si>
  <si>
    <t xml:space="preserve">Sortie LDO</t>
  </si>
  <si>
    <t xml:space="preserve">C2</t>
  </si>
  <si>
    <t xml:space="preserve">Réservoir du rail 5 V commuté LDO_IN côté servos</t>
  </si>
  <si>
    <t xml:space="preserve">C1</t>
  </si>
  <si>
    <t xml:space="preserve">Réservoir rail 5V</t>
  </si>
  <si>
    <t xml:space="preserve">D11</t>
  </si>
  <si>
    <t xml:space="preserve">Clamp ADC_VBAT sur +3V3</t>
  </si>
  <si>
    <t xml:space="preserve">D12</t>
  </si>
  <si>
    <t xml:space="preserve">TVS 6,8V sur le rail +5V : surtension / inversion résiduelle</t>
  </si>
  <si>
    <t xml:space="preserve">Protège le rail 5 V. Commander tôt chez LCSC (stock faible).</t>
  </si>
  <si>
    <t xml:space="preserve">Q8</t>
  </si>
  <si>
    <t xml:space="preserve">Driver gate</t>
  </si>
  <si>
    <t xml:space="preserve">Brochage C-B-E sérigraphié.</t>
  </si>
  <si>
    <t xml:space="preserve">Q7, Q12</t>
  </si>
  <si>
    <t xml:space="preserve">P-MOSFET commutation 5V du LDO capteurs; Anti-inversion entrée 5V (P-MOSFET 55V, VGS = -5V</t>
  </si>
  <si>
    <t xml:space="preserve">Respecter la sérigraphie G-D-S de chaque MOSFET.</t>
  </si>
  <si>
    <t xml:space="preserve">U1</t>
  </si>
  <si>
    <t xml:space="preserve">Régulateur 3,3V 800mA du rail capteurs (1=GND 2=OUT 3=IN</t>
  </si>
  <si>
    <t xml:space="preserve">Ce n'est pas un 78xx : 1=GND 2=OUT 3=IN (sérigraphié).</t>
  </si>
  <si>
    <t xml:space="preserve">J1, J12, J18, J19, J25</t>
  </si>
  <si>
    <t xml:space="preserve">Entrée 5V alternative; LDR déportée entre 3V3 et l'ADC; Distribution 5V; Distribution 3V3 capteurs ; …</t>
  </si>
  <si>
    <t xml:space="preserve">Entrée du boost 5,1 V. Pont batterie 1S : J25 sur le + de la 18650, JP12 en 2-3. Veille d'urgence firmware ≥ 3,3 V.</t>
  </si>
  <si>
    <t xml:space="preserve">J10, J11, J29, J30, J31, J32, J33, J34</t>
  </si>
  <si>
    <t xml:space="preserve">DHT11/DHT22; Sonde DS18B20 étanche; Module pluie DO msp; DHT externe msp ; …</t>
  </si>
  <si>
    <t xml:space="preserve">A1 (2×15), J13, J21</t>
  </si>
  <si>
    <t xml:space="preserve">Supports du DevKit (jamais soudé); OLED SSD1306 128x64 I2C 0x3C; Port I2C libre 2</t>
  </si>
  <si>
    <t xml:space="preserve">38 broches femelles utilisées (+ pertes de coupe).</t>
  </si>
  <si>
    <t xml:space="preserve">J15, J16, J17, J20, JP1, JP12, JP13, JP14, JP15, JP16, JP17, JP18, JP19, JP20, …</t>
  </si>
  <si>
    <t xml:space="preserve">Servo GROS; Servo PETITS; Header service; Rail Dupont ; …</t>
  </si>
  <si>
    <t xml:space="preserve">42 broches mâles utilisées (+ pertes de coupe).</t>
  </si>
  <si>
    <t xml:space="preserve">JP…</t>
  </si>
  <si>
    <t xml:space="preserve">Cavaliers de configuration du profil (+2 de rechange)</t>
  </si>
  <si>
    <t xml:space="preserve">Cavaliers posés : JP1 parqué (rail commuté), JP12 en 2-3 (1S), JP16-JP19 et JP21 FERMÉS.</t>
  </si>
  <si>
    <t xml:space="preserve">D5</t>
  </si>
  <si>
    <t xml:space="preserve">PONT DE FIL vers VIN DevKit</t>
  </si>
  <si>
    <t xml:space="preserve">D5 = pont de fil (rev 0.2.2). Règle absolue : ne JAMAIS brancher l'USB du DevKit quand la carte est alimentée.</t>
  </si>
  <si>
    <t xml:space="preserve">TP1, TP2, TP3, TP4</t>
  </si>
  <si>
    <t xml:space="preserve">Point de test GND; Point de test +5V; Point de test +3V3_SW; Point de test +3V3</t>
  </si>
  <si>
    <t xml:space="preserve">hors carte</t>
  </si>
  <si>
    <t xml:space="preserve">Température/humidité air intérieure (J10) et extérieure (J30)</t>
  </si>
  <si>
    <t xml:space="preserve">J30 exige JP21 FERMÉ (pull-up R47). Un BME280 détecté remplace le DHT (option ci-dessous).</t>
  </si>
  <si>
    <t xml:space="preserve">Remplace les DHT11 : 0x76 = intérieur, 0x77 = extérieur (I2C J21 / J14)</t>
  </si>
  <si>
    <t xml:space="preserve">Le firmware le détecte au démarrage. Adresse 0x77 : pont SDO à souder sur le module.</t>
  </si>
  <si>
    <t xml:space="preserve">Température du sol (« TempEau » côté serveur) sur J11</t>
  </si>
  <si>
    <t xml:space="preserve">Version étanche, câble 1 m.</t>
  </si>
  <si>
    <t xml:space="preserve">Tracker solaire : 4 photorésistances sur J31-J34</t>
  </si>
  <si>
    <t xml:space="preserve">JP16-JP19 FERMÉS (bas de pont R43-R46 10k). Prévoir un séparateur en croix entre les 4 LDR.</t>
  </si>
  <si>
    <t xml:space="preserve">Détection de pluie (sortie DO) sur J29</t>
  </si>
  <si>
    <t xml:space="preserve">Ne PAS poser R17 (sinon « mouillé » permanent). Alimenté par +3V3_SW.</t>
  </si>
  <si>
    <t xml:space="preserve">Humidité du sol (« HumiditeSol », sortie AO) sur J12</t>
  </si>
  <si>
    <t xml:space="preserve">R27 NON posé, JP20 OUVERT. Module 3 fils : prendre le GND sur un bornier voisin (J12 n'a que 3V3/ADC).</t>
  </si>
  <si>
    <t xml:space="preserve">Tracker : servo gauche-droite (J15) et haut-bas (J16)</t>
  </si>
  <si>
    <t xml:space="preserve">Coupés pendant le sommeil (JP1 ôté). Gros servo plus tard : fil +5V en étoile, voir ALIMENTATION.md.</t>
  </si>
  <si>
    <t xml:space="preserve">Affichage local sur J13</t>
  </si>
  <si>
    <t xml:space="preserve">Alimenté par le rail commuté : éteint en sommeil, 0 fuite.</t>
  </si>
  <si>
    <t xml:space="preserve">Chargeur 1S entre panneau et 18650</t>
  </si>
  <si>
    <t xml:space="preserve">Décision N5 : conservé (déjà en stock). Modèle AVEC protection (DW01).</t>
  </si>
  <si>
    <t xml:space="preserve">Élève 3,0–4,2 V de la 18650 à 5,1 V vers J1</t>
  </si>
  <si>
    <t xml:space="preserve">RÉGLER À 5,1 V au multimètre AVANT de brancher la carte. MT3608 : ~1,5 mA à vide, acceptable.</t>
  </si>
  <si>
    <t xml:space="preserve">Stockage d'énergie (~2,3 Wh/jour consommés)</t>
  </si>
  <si>
    <t xml:space="preserve">Cellule de marque (Samsung/LG/Panasonic/Molicel), pas de « 9900 mAh ». 2e cellule en parallèle = option.</t>
  </si>
  <si>
    <t xml:space="preserve">Logement de la cellule</t>
  </si>
  <si>
    <t xml:space="preserve">À l'ombre, sous le panneau : jamais au soleil (&gt; 45 °C).</t>
  </si>
  <si>
    <t xml:space="preserve">Recharge solaire</t>
  </si>
  <si>
    <t xml:space="preserve">5–6 W / 6 V : un 2 W est déficitaire en hiver (ALIMENTATION.md §3).</t>
  </si>
  <si>
    <t xml:space="preserve">H1, H2, H3, H4, H5, H6, H7</t>
  </si>
  <si>
    <t xml:space="preserve">Trou de fixation M3</t>
  </si>
  <si>
    <t xml:space="preserve">H1-H7</t>
  </si>
  <si>
    <t xml:space="preserve">Entretoises de fixation de la carte</t>
  </si>
  <si>
    <t xml:space="preserve">Boîtier étanche extérieur</t>
  </si>
  <si>
    <t xml:space="preserve">Ventilé par le bas / à l'ombre.</t>
  </si>
  <si>
    <t xml:space="preserve">Passage des câbles capteurs/servos/alim</t>
  </si>
  <si>
    <t xml:space="preserve">PG7 pour les sondes, PG9 pour l'alim.</t>
  </si>
  <si>
    <t xml:space="preserve">Câblage des capteurs (au mètre)</t>
  </si>
  <si>
    <t xml:space="preserve">Souple 0,25–0,5 mm² ; embouts sur chaque fil.</t>
  </si>
  <si>
    <t xml:space="preserve">n3pp — serre (chargeur 5 V)</t>
  </si>
  <si>
    <t xml:space="preserve">• Chargeur 5 V 2 A → cordon court et épais → J2 (jack). Jamais par le micro-USB du DevKit.</t>
  </si>
  <si>
    <t xml:space="preserve">• JP1 ôté (parqué en 2-3) ; JP12 en 2-3 ; JP20 FERMÉ (LDR) ; JP16-JP19 OUVERTS (sondes de sol) ; JP5 sans cavalier (AUTO).</t>
  </si>
  <si>
    <t xml:space="preserve">• Un seul relais : K1 = pompe d'arrosage (et ses pièces Q1, D1, R1, R5, LED1, R9, J3, JP5, R61).</t>
  </si>
  <si>
    <t xml:space="preserve">• NE PAS poser : LED5/R13, R43-R46, R17-R19, K2-K6, servos, Hi-Link, section 12 V.</t>
  </si>
  <si>
    <t xml:space="preserve">• J25 : relier J25-1 au +5V (J18-1) par un fil, sinon la mesure « batterie » lit 0 et le firmware se met en veille d'urgence (ou clé serveur 112 = 0). À vérifier au premier allumage.</t>
  </si>
  <si>
    <t xml:space="preserve">R1, R9, R34, R49, R50, R51, R52, R53, R54, R61</t>
  </si>
  <si>
    <t xml:space="preserve">Résistance base transistor; Résistance LED témoin; Base commande gate; Série ADC_VBAT ; …</t>
  </si>
  <si>
    <t xml:space="preserve">R25, R26</t>
  </si>
  <si>
    <t xml:space="preserve">Pull-up I2C SDA; Pull-up I2C SCL</t>
  </si>
  <si>
    <t xml:space="preserve">R5, R23, R27, R48</t>
  </si>
  <si>
    <t xml:space="preserve">Pull-down base; Pull-up data DHT11; Bas de pont LDR sur ADC_E; Pull-down base Q8</t>
  </si>
  <si>
    <t xml:space="preserve">D1</t>
  </si>
  <si>
    <t xml:space="preserve">Diode de roue libre bobine</t>
  </si>
  <si>
    <t xml:space="preserve">Q1, Q8</t>
  </si>
  <si>
    <t xml:space="preserve">Transistor NPN commande relais; Driver gate</t>
  </si>
  <si>
    <t xml:space="preserve">LED1</t>
  </si>
  <si>
    <t xml:space="preserve">LED témoin relais ON</t>
  </si>
  <si>
    <t xml:space="preserve">K1</t>
  </si>
  <si>
    <t xml:space="preserve">Relais 5V SPDT Songle/Sanyou SRD Form C</t>
  </si>
  <si>
    <t xml:space="preserve">J2 (jack) pour le chargeur ; J1 en secours. Pas de batterie : relier J25-1 au +5V (J18-1) par un fil, sinon le firmware lit une batterie vide et part en veille d'urgence (ou désactiver la clé serveur 112). À vérifier au 1er allumage.</t>
  </si>
  <si>
    <t xml:space="preserve">J3, J10, J31, J32, J33, J34</t>
  </si>
  <si>
    <t xml:space="preserve">Bornier charge 230V; DHT11/DHT22; Entrée analogique ADC_A; Entrée analogique ADC_B ; …</t>
  </si>
  <si>
    <t xml:space="preserve">J17, J20, JP1, JP5, JP12, JP13, JP14, JP15, JP16, JP17, JP18, JP19, JP20, JP21</t>
  </si>
  <si>
    <t xml:space="preserve">Header service; Rail Dupont; BYPASS gate : cavalier 1-2 FERME par défaut; Sélecteur K1 : SANS cavalier = AUTO ; …</t>
  </si>
  <si>
    <t xml:space="preserve">39 broches mâles utilisées (+ pertes de coupe).</t>
  </si>
  <si>
    <t xml:space="preserve">Cavaliers posés : JP1 parqué (rail commuté), JP12 en 2-3, JP20 FERMÉ ; JP5 SANS cavalier (AUTO).</t>
  </si>
  <si>
    <t xml:space="preserve">J2</t>
  </si>
  <si>
    <t xml:space="preserve">Entrée 5V</t>
  </si>
  <si>
    <t xml:space="preserve">Température/humidité de la serre sur J10</t>
  </si>
  <si>
    <t xml:space="preserve">BME280 en option (détecté automatiquement).</t>
  </si>
  <si>
    <t xml:space="preserve">Remplace le DHT11 (0x76, I2C J21)</t>
  </si>
  <si>
    <t xml:space="preserve">Ajoute la pression atmosphérique.</t>
  </si>
  <si>
    <t xml:space="preserve">Luminosité de la serre sur J12</t>
  </si>
  <si>
    <t xml:space="preserve">R27 posé, JP20 FERMÉ.</t>
  </si>
  <si>
    <t xml:space="preserve">Humidité du sol 1 à 4 sur J31-J34</t>
  </si>
  <si>
    <t xml:space="preserve">JP16-JP19 OUVERTS, R43-R46 NON posés. Capacitif v1.2 : ne rouille pas comme les sondes résistives.</t>
  </si>
  <si>
    <t xml:space="preserve">Roue libre aux bornes de la pompe si pompe DC</t>
  </si>
  <si>
    <t xml:space="preserve">Cathode côté +. Inutile pour une pompe 230 V.</t>
  </si>
  <si>
    <t xml:space="preserve">Alimentation de la carte</t>
  </si>
  <si>
    <t xml:space="preserve">5 V 2 A minimum, de marque (≥ 4,8 V sur J1/J2 sous charge).</t>
  </si>
  <si>
    <t xml:space="preserve">Du chargeur au jack J2</t>
  </si>
  <si>
    <t xml:space="preserve">Le plus COURT et le plus épais possible (≥ 0,5 mm²).</t>
  </si>
  <si>
    <t xml:space="preserve">Boîtier étanche (serre humide)</t>
  </si>
  <si>
    <t xml:space="preserve">Passage des câbles sondes / pompe / alim</t>
  </si>
  <si>
    <t xml:space="preserve">ffp5cs — aquaponie secteur 230 V (Hi-Link)</t>
  </si>
  <si>
    <t xml:space="preserve">• 230 V → J27 (1 = N, 2 = L) → F1 T1A + RV1 → Hi-Link PS1 → +5V. Boîtier isolant fermé, différentiel 30 mA, supervision adulte.</t>
  </si>
  <si>
    <t xml:space="preserve">• H1 et H5 : vis NYLON obligatoires. JP1 FERMÉ 1-2 (rail permanent) ; JP13-JP15 FERMÉS (ponts écho) ; JP20 FERMÉ ; JP5-JP10 sans cavalier (AUTO).</t>
  </si>
  <si>
    <t xml:space="preserve">• J1 seulement pour les essais sur table SANS secteur : jamais J1 et le Hi-Link en même temps.</t>
  </si>
  <si>
    <t xml:space="preserve">• Flash USB : carte HORS secteur et JP1 ôté (le pull-up 1-Wire sur GPIO2 bloque le bootloader). Sinon OTA.</t>
  </si>
  <si>
    <t xml:space="preserve">• NE PAS poser : J29-J34, R43-R47, section 12 V (J26, Q11, D8, D9, R40, C5, J36, J37).</t>
  </si>
  <si>
    <t xml:space="preserve">R1, R2, R3, R4, R9, R10, R11, R12, R13, R14, R15, R16, R28, R30, …</t>
  </si>
  <si>
    <t xml:space="preserve">Résistance base transistor; Résistance LED témoin; Résistance LED présence 5V; Série écho HC-SR04 AQUA ; …</t>
  </si>
  <si>
    <t xml:space="preserve">R17, R18, R19</t>
  </si>
  <si>
    <t xml:space="preserve">Pont diviseur écho AQUA; Pont diviseur écho TANK; Pont diviseur écho POTA</t>
  </si>
  <si>
    <t xml:space="preserve">R17-R19 : ponts écho HC-SR04, uniquement sur ffp5cs.</t>
  </si>
  <si>
    <t xml:space="preserve">R5, R6, R7, R8, R23, R27, R29, R32, R48</t>
  </si>
  <si>
    <t xml:space="preserve">R35, R57</t>
  </si>
  <si>
    <t xml:space="preserve">Pull-up grille P-MOSFET vers +5V; Grille de Q12 vers GND</t>
  </si>
  <si>
    <t xml:space="preserve">C3, C4, C10</t>
  </si>
  <si>
    <t xml:space="preserve">Découplage 3V3 capteurs; Découplage 3V3 I2C; Filtre ADC_E</t>
  </si>
  <si>
    <t xml:space="preserve">D1, D2, D3, D4, D6, D7</t>
  </si>
  <si>
    <t xml:space="preserve">Q1, Q2, Q3, Q4, Q5, Q6, Q8</t>
  </si>
  <si>
    <t xml:space="preserve">LED1, LED2, LED3, LED4, LED6, LED7</t>
  </si>
  <si>
    <t xml:space="preserve">LED5</t>
  </si>
  <si>
    <t xml:space="preserve">LED présence 5V</t>
  </si>
  <si>
    <t xml:space="preserve">LED5 posée (présence 5 V).</t>
  </si>
  <si>
    <t xml:space="preserve">K1, K2, K3, K4, K5, K6</t>
  </si>
  <si>
    <t xml:space="preserve">RV1</t>
  </si>
  <si>
    <t xml:space="preserve">Varistance 300VAC transitoires secteur</t>
  </si>
  <si>
    <t xml:space="preserve">F1</t>
  </si>
  <si>
    <t xml:space="preserve">Fusible entrée secteur du module alim</t>
  </si>
  <si>
    <t xml:space="preserve">Cartouche du porte-fusible F1 (1 posée + 2 de rechange)</t>
  </si>
  <si>
    <t xml:space="preserve">Temporisé (T), pas rapide (F).</t>
  </si>
  <si>
    <t xml:space="preserve">PS1</t>
  </si>
  <si>
    <t xml:space="preserve">Module AC-DC 230V-&gt;5V 3,6A</t>
  </si>
  <si>
    <t xml:space="preserve">Zone 230 V : montage et raccordement sous supervision adulte.</t>
  </si>
  <si>
    <t xml:space="preserve">J1, J12, J18, J19, J27</t>
  </si>
  <si>
    <t xml:space="preserve">J1 seulement pour les essais sur table SANS secteur (jamais les deux en même temps).</t>
  </si>
  <si>
    <t xml:space="preserve">J3, J4, J5, J6, J10, J11, J23, J24</t>
  </si>
  <si>
    <t xml:space="preserve">Bornier charge 230V; DHT11/DHT22; Sonde DS18B20 étanche</t>
  </si>
  <si>
    <t xml:space="preserve">J7, J8, J9</t>
  </si>
  <si>
    <t xml:space="preserve">HC-SR04 AQUA; HC-SR04 TANK; HC-SR04 POTA</t>
  </si>
  <si>
    <t xml:space="preserve">A1 (2×15), J13, J14</t>
  </si>
  <si>
    <t xml:space="preserve">Supports du DevKit (jamais soudé); OLED SSD1306 128x64 I2C 0x3C; Extension I2C</t>
  </si>
  <si>
    <t xml:space="preserve">J15, J16, J17, J20, J38, JP1, JP5, JP6, JP7, JP8, JP9, JP10, JP13, JP14, …</t>
  </si>
  <si>
    <t xml:space="preserve">65 broches mâles utilisées (+ pertes de coupe).</t>
  </si>
  <si>
    <t xml:space="preserve">Cavaliers posés : JP1 FERMÉ 1-2, JP13-JP15 et JP20 FERMÉS ; JP5-JP10 SANS cavalier (AUTO).</t>
  </si>
  <si>
    <t xml:space="preserve">Température/humidité de l'air sur J10</t>
  </si>
  <si>
    <t xml:space="preserve">DHT22 possible (flag -DUSE_DHT22).</t>
  </si>
  <si>
    <t xml:space="preserve">Température de l'eau (régule le chauffage) sur J11</t>
  </si>
  <si>
    <t xml:space="preserve">GPIO2 = broche de démarrage : ôter JP1 pour flasher par USB (carte HORS secteur).</t>
  </si>
  <si>
    <t xml:space="preserve">Luminosité ambiante sur J12</t>
  </si>
  <si>
    <t xml:space="preserve">Niveaux d'eau aquarium (J7), réservoir (J8), potager (J9)</t>
  </si>
  <si>
    <t xml:space="preserve">JP13-JP15 FERMÉS + R17-R19 posés (écho 5 V ramené à 3,3 V) : OBLIGATOIRE.</t>
  </si>
  <si>
    <t xml:space="preserve">Nourrisseurs gros (J15) et petits poissons (J16)</t>
  </si>
  <si>
    <t xml:space="preserve">JP1 fermé : alimentés en permanence.</t>
  </si>
  <si>
    <t xml:space="preserve">Horloge hors ligne sur J14</t>
  </si>
  <si>
    <t xml:space="preserve">Dessouder la résistance/diode de charge du module (pile non rechargeable).</t>
  </si>
  <si>
    <t xml:space="preserve">Pile du DS3231</t>
  </si>
  <si>
    <t xml:space="preserve">Journal sur carte SD (J35)</t>
  </si>
  <si>
    <t xml:space="preserve">Seulement avec un ESP32-S3 (site A2) ou après efuse VDD_SDIO=3V3 sur WROOM. PAS de module Catalex.</t>
  </si>
  <si>
    <t xml:space="preserve">Arrivée 230 V sur J27</t>
  </si>
  <si>
    <t xml:space="preserve">Raccordement sous supervision adulte, boîtier fermé.</t>
  </si>
  <si>
    <t xml:space="preserve">H1 et H5 : vis NYLON OBLIGATOIRES (230 V à &lt; 5 mm).</t>
  </si>
  <si>
    <t xml:space="preserve">Boîtier isolant (classe II) OBLIGATOIRE</t>
  </si>
  <si>
    <t xml:space="preserve">Plastique, pas de boîtier métallique (pas de terre sur la carte).</t>
  </si>
  <si>
    <t xml:space="preserve">Passage cordon secteur, charges 230 V, sondes</t>
  </si>
  <si>
    <t xml:space="preserve">Câblage des charges 230 V (pompes, chauffage, lumière)</t>
  </si>
  <si>
    <t xml:space="preserve">Au mètre, 1,5 mm² souple + embouts.</t>
  </si>
  <si>
    <t xml:space="preserve">ffp5cs — aquaponie 12 V (AGM + PWM solaire)</t>
  </si>
  <si>
    <t xml:space="preserve">• Batterie AGM (bornes batterie, pas la sortie « charge » du PWM) → fusible lame 7,5-10 A → J26 → Q11/D8/D9 → J36 → buck réglé 5,1 V → J37.</t>
  </si>
  <si>
    <t xml:space="preserve">• JP1 FERMÉ ; JP12 en 1-2 (18k) ; JP13-JP15 FERMÉS ; JP20 FERMÉ ; JP5-JP10 sans cavalier (AUTO).</t>
  </si>
  <si>
    <t xml:space="preserve">• Les pompes 12 V passent par les CONTACTS des relais, directement sur le bus ; diode de roue libre aux bornes de chaque pompe.</t>
  </si>
  <si>
    <t xml:space="preserve">• Relais collés = poste dominant (≈ 10 Wh/jour par pompe maintenue) : cycles de pompe et chauffage interdit sur batterie (firmware).</t>
  </si>
  <si>
    <t xml:space="preserve">• NE PAS poser : Hi-Link PS1, F1, RV1, J27, J29-J34, R43-R47.</t>
  </si>
  <si>
    <t xml:space="preserve">R35, R38, R40, R57, R58</t>
  </si>
  <si>
    <t xml:space="preserve">Pull-up grille P-MOSFET vers +5V; Haut du pont VBAT; Grille anti-inversion vers GND; Grille de Q12 vers GND ; …</t>
  </si>
  <si>
    <t xml:space="preserve">C3, C4, C10, C13</t>
  </si>
  <si>
    <t xml:space="preserve">Découplage 3V3 capteurs; Découplage 3V3 I2C; Filtre ADC_E; Filtre ADC_VBAT</t>
  </si>
  <si>
    <t xml:space="preserve">C5</t>
  </si>
  <si>
    <t xml:space="preserve">Réservoir bus 12V protégé</t>
  </si>
  <si>
    <t xml:space="preserve">D8</t>
  </si>
  <si>
    <t xml:space="preserve">TVS 18V transitoires bus batterie</t>
  </si>
  <si>
    <t xml:space="preserve">D9</t>
  </si>
  <si>
    <t xml:space="preserve">Zener 15V grille-source de Q11 : VGS borné à -15 V</t>
  </si>
  <si>
    <t xml:space="preserve">Q7, Q11, Q12</t>
  </si>
  <si>
    <t xml:space="preserve">P-MOSFET commutation 5V du LDO capteurs; Anti-inversion P-MOSFET 55V ±20V VGS; Anti-inversion entrée 5V (P-MOSFET 55V, VGS = -5V</t>
  </si>
  <si>
    <t xml:space="preserve">J1, J12, J18, J19, J25, J26, J36, J37</t>
  </si>
  <si>
    <t xml:space="preserve">J1 seulement pour les essais sur table, buck débranché. Sonde bus 12 V (JP12 en 1-2, ratio 118/18) : facultatif, aucun firmware ne la lit aujourd'hui.</t>
  </si>
  <si>
    <t xml:space="preserve">A1 (2×15), J13, J14, J21, J22, J28</t>
  </si>
  <si>
    <t xml:space="preserve">Supports du DevKit (jamais soudé); OLED SSD1306 128x64 I2C 0x3C; Extension I2C; Port I2C libre 2 ; …</t>
  </si>
  <si>
    <t xml:space="preserve">50 broches femelles utilisées (+ pertes de coupe).</t>
  </si>
  <si>
    <t xml:space="preserve">J15, J16, J17, J20, J38, JP1, JP5, JP6, JP7, JP8, JP9, JP10, JP12, JP13, …</t>
  </si>
  <si>
    <t xml:space="preserve">68 broches mâles utilisées (+ pertes de coupe).</t>
  </si>
  <si>
    <t xml:space="preserve">Cavaliers posés : JP1 FERMÉ, JP12 en 1-2 (18k), JP13-JP15 et JP20 FERMÉS ; JP5-JP10 SANS cavalier.</t>
  </si>
  <si>
    <t xml:space="preserve">Température de l'eau sur J11</t>
  </si>
  <si>
    <t xml:space="preserve">Chauffage interdit sur batterie (firmware) : surplus solaire seulement.</t>
  </si>
  <si>
    <t xml:space="preserve">JP13-JP15 FERMÉS + R17-R19 posés : OBLIGATOIRE.</t>
  </si>
  <si>
    <t xml:space="preserve">Dessouder le circuit de charge du module.</t>
  </si>
  <si>
    <t xml:space="preserve">Mesure tension/courant batterie (délestage AGM, n3_power) sur J21</t>
  </si>
  <si>
    <t xml:space="preserve">Le shunt R100 du module plafonne à 0,8 A : shunt externe 5–10 mΩ câblé en Kelvin pour mesurer les pompes.</t>
  </si>
  <si>
    <t xml:space="preserve">2e et 3e INA226 : panneau (0x40) et charges (0x44) sur J22/J28</t>
  </si>
  <si>
    <t xml:space="preserve">Adresses à régler par ponts A0/A1.</t>
  </si>
  <si>
    <t xml:space="preserve">Roue libre aux bornes des pompes 12 V (aquarium, réservoir)</t>
  </si>
  <si>
    <t xml:space="preserve">Cathode côté +. Pompe &gt; 1 A : préférer une 1N5408 (3 A).</t>
  </si>
  <si>
    <t xml:space="preserve">12 V → 5,1 V pour la carte (J36 → J37)</t>
  </si>
  <si>
    <t xml:space="preserve">RÉGLER À 5,1 V AVANT de raccorder J37. Sur entretoises au-dessus de la carte.</t>
  </si>
  <si>
    <t xml:space="preserve">Fusible 7,5–10 A en ligne, au plus près de la batterie, avant J26</t>
  </si>
  <si>
    <t xml:space="preserve">OBLIGATOIRE.</t>
  </si>
  <si>
    <t xml:space="preserve">Batterie du bus 12 V</t>
  </si>
  <si>
    <t xml:space="preserve">Brancher la carte sur les bornes BATTERIE, pas sur la sortie « charge » du régulateur.</t>
  </si>
  <si>
    <t xml:space="preserve">Charge l'AGM depuis le panneau (14,5 V mesurés en absorption)</t>
  </si>
  <si>
    <t xml:space="preserve">Déjà en place.</t>
  </si>
  <si>
    <t xml:space="preserve">Production solaire du bus 12 V</t>
  </si>
  <si>
    <t xml:space="preserve">Boîtier étanche</t>
  </si>
  <si>
    <t xml:space="preserve">Passage bus 12 V, pompes, sondes</t>
  </si>
  <si>
    <t xml:space="preserve">Câblage bus 12 V et pompes</t>
  </si>
  <si>
    <t xml:space="preserve">Au mètre ; 2,5 mm² entre batterie et fusible si pompes &gt; 5 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</si>
</sst>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9C2A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1F5FB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8EEF5"/>
        <bgColor rgb="FFEAF5EA"/>
      </patternFill>
    </fill>
    <fill>
      <patternFill patternType="solid">
        <fgColor rgb="FF1F3A5F"/>
        <bgColor rgb="FF333333"/>
      </patternFill>
    </fill>
    <fill>
      <patternFill patternType="solid">
        <fgColor rgb="FFF4F6F9"/>
        <bgColor rgb="FFEAF5EA"/>
      </patternFill>
    </fill>
    <fill>
      <patternFill patternType="solid">
        <fgColor rgb="FFFFFFFF"/>
        <bgColor rgb="FFF4F6F9"/>
      </patternFill>
    </fill>
    <fill>
      <patternFill patternType="solid">
        <fgColor rgb="FFFBE9E7"/>
        <bgColor rgb="FFFFF6E0"/>
      </patternFill>
    </fill>
    <fill>
      <patternFill patternType="solid">
        <fgColor rgb="FFFFF6E0"/>
        <bgColor rgb="FFF4F6F9"/>
      </patternFill>
    </fill>
    <fill>
      <patternFill patternType="solid">
        <fgColor rgb="FFEAF5EA"/>
        <bgColor rgb="FFE8E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5EA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FF6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F5FBF"/>
          <bgColor rgb="FF000000"/>
        </patternFill>
      </fill>
    </dxf>
    <dxf>
      <fill>
        <patternFill patternType="solid">
          <fgColor rgb="FF9C2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6E0"/>
      <rgbColor rgb="FFEAF5EA"/>
      <rgbColor rgb="FF660066"/>
      <rgbColor rgb="FFFF8080"/>
      <rgbColor rgb="FF1F5FBF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F4F6F9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C2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www.microplanet.ma/produit/resistances-14w-50-valeurs-precision-1-1-packet-5-unites/" TargetMode="External"/><Relationship Id="rId9" Type="http://schemas.openxmlformats.org/officeDocument/2006/relationships/hyperlink" Target="https://www.microplanet.ma/produit/resistances-14w-50-valeurs-precision-1-1-packet-5-unites/" TargetMode="External"/><Relationship Id="rId10" Type="http://schemas.openxmlformats.org/officeDocument/2006/relationships/hyperlink" Target="https://a2itronic.ma/product/condensateur-ceramique-01uf-50v-2/" TargetMode="External"/><Relationship Id="rId11" Type="http://schemas.openxmlformats.org/officeDocument/2006/relationships/hyperlink" Target="https://a2itronic.ma/product/condensateur-electrolytique-aluminium-10uf-50v-dc-2/" TargetMode="External"/><Relationship Id="rId12" Type="http://schemas.openxmlformats.org/officeDocument/2006/relationships/hyperlink" Target="https://a2itronic.ma/product/100uf16v-condensateur-5x7mm-electrolytique-2/" TargetMode="External"/><Relationship Id="rId13" Type="http://schemas.openxmlformats.org/officeDocument/2006/relationships/hyperlink" Target="https://a2itronic.ma/product/470uf25v-condensateur-8x12-2/" TargetMode="External"/><Relationship Id="rId14" Type="http://schemas.openxmlformats.org/officeDocument/2006/relationships/hyperlink" Target="https://a2itronic.ma/product/470uf25v-condensateur-8x12-2/" TargetMode="External"/><Relationship Id="rId15" Type="http://schemas.openxmlformats.org/officeDocument/2006/relationships/hyperlink" Target="https://a2itronic.ma/product/condensateur-electrolytique-aluminium-1000uf-25v-dc-2/" TargetMode="External"/><Relationship Id="rId16" Type="http://schemas.openxmlformats.org/officeDocument/2006/relationships/hyperlink" Target="https://shop4makers.com/produit/diode-1n4007/" TargetMode="External"/><Relationship Id="rId17" Type="http://schemas.openxmlformats.org/officeDocument/2006/relationships/hyperlink" Target="https://www.moussasoft.com/produit/bat-85-diode-schottky-30v-200ma/" TargetMode="External"/><Relationship Id="rId18" Type="http://schemas.openxmlformats.org/officeDocument/2006/relationships/hyperlink" Target="https://www.lcsc.com/search?q=C412500" TargetMode="External"/><Relationship Id="rId19" Type="http://schemas.openxmlformats.org/officeDocument/2006/relationships/hyperlink" Target="https://www.lcsc.com/search?q=C1666858" TargetMode="External"/><Relationship Id="rId20" Type="http://schemas.openxmlformats.org/officeDocument/2006/relationships/hyperlink" Target="https://www.microplanet.ma/produit/diode-zener-14-valeurs-3-3v-30v-1w/" TargetMode="External"/><Relationship Id="rId21" Type="http://schemas.openxmlformats.org/officeDocument/2006/relationships/hyperlink" Target="https://a2itronic.ma/product/bc337-40-npn-45v-800ma-2/" TargetMode="External"/><Relationship Id="rId22" Type="http://schemas.openxmlformats.org/officeDocument/2006/relationships/hyperlink" Target="https://a2itronic.ma/product/irf4905pbf-irf4905-mosfet-canal-p-74a-55v-to-220/" TargetMode="External"/><Relationship Id="rId23" Type="http://schemas.openxmlformats.org/officeDocument/2006/relationships/hyperlink" Target="https://megma.ma/regulateur-de-tension-lm1117t-3-3v-to-220/" TargetMode="External"/><Relationship Id="rId24" Type="http://schemas.openxmlformats.org/officeDocument/2006/relationships/hyperlink" Target="https://www.moussasoft.com/produit/led-5mm-rouge/" TargetMode="External"/><Relationship Id="rId25" Type="http://schemas.openxmlformats.org/officeDocument/2006/relationships/hyperlink" Target="https://shop4makers.com/produit/led-5mm/" TargetMode="External"/><Relationship Id="rId26" Type="http://schemas.openxmlformats.org/officeDocument/2006/relationships/hyperlink" Target="https://www.moussasoft.com/produit/relai-electrique-5v-srd-05vdc-sl-c/" TargetMode="External"/><Relationship Id="rId27" Type="http://schemas.openxmlformats.org/officeDocument/2006/relationships/hyperlink" Target="https://www.microplanet.ma/produit/varistance-14mm/" TargetMode="External"/><Relationship Id="rId28" Type="http://schemas.openxmlformats.org/officeDocument/2006/relationships/hyperlink" Target="https://www.moussasoft.com/produit/support-fusible-avec-broche-dip-et-couvercle/" TargetMode="External"/><Relationship Id="rId29" Type="http://schemas.openxmlformats.org/officeDocument/2006/relationships/hyperlink" Target="https://megma.ma/fusible-en-verre-5x20mm-plusieur-valeurs/" TargetMode="External"/><Relationship Id="rId30" Type="http://schemas.openxmlformats.org/officeDocument/2006/relationships/hyperlink" Target="https://shop4makers.com/produit/alimentation-hlk-20m05-ac-dc-5v-4a-20w/" TargetMode="External"/><Relationship Id="rId31" Type="http://schemas.openxmlformats.org/officeDocument/2006/relationships/hyperlink" Target="https://www.microplanet.ma/produit/bornier-a-vis-2-broches/" TargetMode="External"/><Relationship Id="rId32" Type="http://schemas.openxmlformats.org/officeDocument/2006/relationships/hyperlink" Target="https://www.microplanet.ma/produit/bornier-a-vis-3-broches/" TargetMode="External"/><Relationship Id="rId33" Type="http://schemas.openxmlformats.org/officeDocument/2006/relationships/hyperlink" Target="https://www.microplanet.ma/produit/kf128-4p-bornier-a-vis-4-broches/" TargetMode="External"/><Relationship Id="rId34" Type="http://schemas.openxmlformats.org/officeDocument/2006/relationships/hyperlink" Target="https://www.moussasoft.com/produit/rangee-40-pins-a-2-54-mm-femelle/" TargetMode="External"/><Relationship Id="rId35" Type="http://schemas.openxmlformats.org/officeDocument/2006/relationships/hyperlink" Target="https://www.moussasoft.com/produit/rangee-40-pins-a-2-54-mm-male/" TargetMode="External"/><Relationship Id="rId36" Type="http://schemas.openxmlformats.org/officeDocument/2006/relationships/hyperlink" Target="https://shop4makers.com/produit/lot-de-cavaliers-jumpers/" TargetMode="External"/><Relationship Id="rId37" Type="http://schemas.openxmlformats.org/officeDocument/2006/relationships/hyperlink" Target="https://shoppingmaroc.net/connectique-jack/280-connecteur-pcb-55x21mm-dc-power.html" TargetMode="External"/><Relationship Id="rId38" Type="http://schemas.openxmlformats.org/officeDocument/2006/relationships/hyperlink" Target="https://shop4makers.com/produit/capteur-temperature-et-dhumidite-dht11/" TargetMode="External"/><Relationship Id="rId39" Type="http://schemas.openxmlformats.org/officeDocument/2006/relationships/hyperlink" Target="https://shop4makers.com/produit/bme280-capteur-de-pression-humidite/" TargetMode="External"/><Relationship Id="rId40" Type="http://schemas.openxmlformats.org/officeDocument/2006/relationships/hyperlink" Target="https://a2itronic.ma/product/dallas-capteur-de-temperature-1-wire-ds18b20-waterproof-longueur-1m-2/" TargetMode="External"/><Relationship Id="rId41" Type="http://schemas.openxmlformats.org/officeDocument/2006/relationships/hyperlink" Target="https://www.moussasoft.com/produit/photoresistance-gm5539/" TargetMode="External"/><Relationship Id="rId42" Type="http://schemas.openxmlformats.org/officeDocument/2006/relationships/hyperlink" Target="https://www.moussasoft.com/produit/module-detecteur-de-pluie-pour-arduino/" TargetMode="External"/><Relationship Id="rId43" Type="http://schemas.openxmlformats.org/officeDocument/2006/relationships/hyperlink" Target="https://shop4makers.com/produit/capteur-dhumidite-du-sol-capacitif-v1-2/" TargetMode="External"/><Relationship Id="rId44" Type="http://schemas.openxmlformats.org/officeDocument/2006/relationships/hyperlink" Target="https://www.moussasoft.com/produit/hc-sr04-capteur-ultrason-arduino/" TargetMode="External"/><Relationship Id="rId45" Type="http://schemas.openxmlformats.org/officeDocument/2006/relationships/hyperlink" Target="https://www.moussasoft.com/produit/servomoteur-mini-towerpro-sg90-9g/" TargetMode="External"/><Relationship Id="rId46" Type="http://schemas.openxmlformats.org/officeDocument/2006/relationships/hyperlink" Target="https://shop4makers.com/produit/afficheur-oled-0-96-i2c/" TargetMode="External"/><Relationship Id="rId47" Type="http://schemas.openxmlformats.org/officeDocument/2006/relationships/hyperlink" Target="https://a2itronic.ma/product/ds3231-at24c32-iic-horloge-temps-reel-compatible-arduino-raspberry-2/" TargetMode="External"/><Relationship Id="rId48" Type="http://schemas.openxmlformats.org/officeDocument/2006/relationships/hyperlink" Target="https://shop4makers.com/produit/cr2032-maroc/" TargetMode="External"/><Relationship Id="rId49" Type="http://schemas.openxmlformats.org/officeDocument/2006/relationships/hyperlink" Target="https://shop4makers.com/produit/capteur-de-courant-tension-ina226/" TargetMode="External"/><Relationship Id="rId50" Type="http://schemas.openxmlformats.org/officeDocument/2006/relationships/hyperlink" Target="https://shop4makers.com/produit/capteur-de-courant-tension-ina226/" TargetMode="External"/><Relationship Id="rId51" Type="http://schemas.openxmlformats.org/officeDocument/2006/relationships/hyperlink" Target="https://www.moussasoft.com/produit/module-micro-sd-card-pour-arduino-maroc-casablanca-agadir-marrakech-fes/" TargetMode="External"/><Relationship Id="rId52" Type="http://schemas.openxmlformats.org/officeDocument/2006/relationships/hyperlink" Target="https://shop4makers.com/produit/diode-1n4007/" TargetMode="External"/><Relationship Id="rId53" Type="http://schemas.openxmlformats.org/officeDocument/2006/relationships/hyperlink" Target="https://shop4makers.com/produit/chargeur-batterie-18650-tp4056-with-protection/" TargetMode="External"/><Relationship Id="rId54" Type="http://schemas.openxmlformats.org/officeDocument/2006/relationships/hyperlink" Target="https://shop4makers.com/produit/elevateur-de-tension-mt3608/" TargetMode="External"/><Relationship Id="rId55" Type="http://schemas.openxmlformats.org/officeDocument/2006/relationships/hyperlink" Target="https://shop4makers.com/produit/lg-chem-inr18650mh1-18650-3200mah-10a/" TargetMode="External"/><Relationship Id="rId56" Type="http://schemas.openxmlformats.org/officeDocument/2006/relationships/hyperlink" Target="https://www.microplanet.ma/produit/porte-piles-pour-batterie-18650-x-1/" TargetMode="External"/><Relationship Id="rId57" Type="http://schemas.openxmlformats.org/officeDocument/2006/relationships/hyperlink" Target="https://www.jumia.ma/generic-panneau-solaire-6v-3.8w-pour-charger-les-telephones-63660146.html" TargetMode="External"/><Relationship Id="rId58" Type="http://schemas.openxmlformats.org/officeDocument/2006/relationships/hyperlink" Target="https://megma.ma/alimentation-chargeur-5v-2a/" TargetMode="External"/><Relationship Id="rId59" Type="http://schemas.openxmlformats.org/officeDocument/2006/relationships/hyperlink" Target="https://www.moussasoft.com/produit/cable-usb-type-a-vers-connecteur-jack-5-5x2-1mm-maroc/" TargetMode="External"/><Relationship Id="rId60" Type="http://schemas.openxmlformats.org/officeDocument/2006/relationships/hyperlink" Target="https://shop4makers.com/produit/mp1584en-buck-module/" TargetMode="External"/><Relationship Id="rId61" Type="http://schemas.openxmlformats.org/officeDocument/2006/relationships/hyperlink" Target="https://www.jumia.ma/sunlight-batterie-12v-12ah-spa-etanche-vrla-agm-67767021.html" TargetMode="External"/><Relationship Id="rId62" Type="http://schemas.openxmlformats.org/officeDocument/2006/relationships/hyperlink" Target="https://www.jumia.ma/generic-controleur-de-charge-solaire-12v24v-pwm-10a-avec-reglable-lcd-affichage-minuterie-reglage-64778946.html" TargetMode="External"/><Relationship Id="rId63" Type="http://schemas.openxmlformats.org/officeDocument/2006/relationships/hyperlink" Target="https://www.jumia.ma/generic-panneau-solaire-20w-topcon-united-energy-65599530.html" TargetMode="External"/><Relationship Id="rId64" Type="http://schemas.openxmlformats.org/officeDocument/2006/relationships/hyperlink" Target="https://www.la-librairie.ma/produit/cable-dalimentation-2-pins/" TargetMode="External"/><Relationship Id="rId65" Type="http://schemas.openxmlformats.org/officeDocument/2006/relationships/hyperlink" Target="https://dsindustrie.com/produit/vis-plastique-tete-hexagonale-m2-m2-5-m3-m4-ensemble-200-pieces-maroc/" TargetMode="External"/><Relationship Id="rId66" Type="http://schemas.openxmlformats.org/officeDocument/2006/relationships/hyperlink" Target="https://energymarket.ma/product/coffret-electrique-etanche-ip65-abs-haute-resistance-plusieurs-dimensions-disponibles" TargetMode="External"/><Relationship Id="rId67" Type="http://schemas.openxmlformats.org/officeDocument/2006/relationships/hyperlink" Target="https://electrodelivery.ma/fr/cables/813-cable-075.html" TargetMode="External"/><Relationship Id="rId68" Type="http://schemas.openxmlformats.org/officeDocument/2006/relationships/hyperlink" Target="https://electrodelivery.ma/fr/cables/812-cable-souple-215-.html" TargetMode="External"/><Relationship Id="rId69" Type="http://schemas.openxmlformats.org/officeDocument/2006/relationships/hyperlink" Target="https://www.moussasoft.com/produit/kit-doutils-de-sertissage-de-ferrules-auto-ajustable-pince-1200-embouts-de-fils/" TargetMode="External"/><Relationship Id="rId70" Type="http://schemas.openxmlformats.org/officeDocument/2006/relationships/hyperlink" Target="https://a2itronic.ma/product/vernis-de-tropicalisation-tropicoat-520-ml-2/" TargetMode="External"/><Relationship Id="rId71" Type="http://schemas.openxmlformats.org/officeDocument/2006/relationships/hyperlink" Target="https://www.microplanet.ma/produit/cable-dupont-malefemelle-20cm-x-40/" TargetMode="External"/><Relationship Id="rId7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www.microplanet.ma/produit/resistances-14w-50-valeurs-precision-1-1-packet-5-unites/" TargetMode="External"/><Relationship Id="rId9" Type="http://schemas.openxmlformats.org/officeDocument/2006/relationships/hyperlink" Target="https://www.microplanet.ma/produit/resistances-14w-50-valeurs-precision-1-1-packet-5-unites/" TargetMode="External"/><Relationship Id="rId10" Type="http://schemas.openxmlformats.org/officeDocument/2006/relationships/hyperlink" Target="https://a2itronic.ma/product/condensateur-ceramique-01uf-50v-2/" TargetMode="External"/><Relationship Id="rId11" Type="http://schemas.openxmlformats.org/officeDocument/2006/relationships/hyperlink" Target="https://a2itronic.ma/product/condensateur-electrolytique-aluminium-10uf-50v-dc-2/" TargetMode="External"/><Relationship Id="rId12" Type="http://schemas.openxmlformats.org/officeDocument/2006/relationships/hyperlink" Target="https://a2itronic.ma/product/100uf16v-condensateur-5x7mm-electrolytique-2/" TargetMode="External"/><Relationship Id="rId13" Type="http://schemas.openxmlformats.org/officeDocument/2006/relationships/hyperlink" Target="https://a2itronic.ma/product/470uf25v-condensateur-8x12-2/" TargetMode="External"/><Relationship Id="rId14" Type="http://schemas.openxmlformats.org/officeDocument/2006/relationships/hyperlink" Target="https://a2itronic.ma/product/470uf25v-condensateur-8x12-2/" TargetMode="External"/><Relationship Id="rId15" Type="http://schemas.openxmlformats.org/officeDocument/2006/relationships/hyperlink" Target="https://a2itronic.ma/product/condensateur-electrolytique-aluminium-1000uf-25v-dc-2/" TargetMode="External"/><Relationship Id="rId16" Type="http://schemas.openxmlformats.org/officeDocument/2006/relationships/hyperlink" Target="https://shop4makers.com/produit/diode-1n4007/" TargetMode="External"/><Relationship Id="rId17" Type="http://schemas.openxmlformats.org/officeDocument/2006/relationships/hyperlink" Target="https://www.moussasoft.com/produit/bat-85-diode-schottky-30v-200ma/" TargetMode="External"/><Relationship Id="rId18" Type="http://schemas.openxmlformats.org/officeDocument/2006/relationships/hyperlink" Target="https://www.lcsc.com/search?q=C412500" TargetMode="External"/><Relationship Id="rId19" Type="http://schemas.openxmlformats.org/officeDocument/2006/relationships/hyperlink" Target="https://www.lcsc.com/search?q=C1666858" TargetMode="External"/><Relationship Id="rId20" Type="http://schemas.openxmlformats.org/officeDocument/2006/relationships/hyperlink" Target="https://www.microplanet.ma/produit/diode-zener-14-valeurs-3-3v-30v-1w/" TargetMode="External"/><Relationship Id="rId21" Type="http://schemas.openxmlformats.org/officeDocument/2006/relationships/hyperlink" Target="https://a2itronic.ma/product/bc337-40-npn-45v-800ma-2/" TargetMode="External"/><Relationship Id="rId22" Type="http://schemas.openxmlformats.org/officeDocument/2006/relationships/hyperlink" Target="https://a2itronic.ma/product/irf4905pbf-irf4905-mosfet-canal-p-74a-55v-to-220/" TargetMode="External"/><Relationship Id="rId23" Type="http://schemas.openxmlformats.org/officeDocument/2006/relationships/hyperlink" Target="https://megma.ma/regulateur-de-tension-lm1117t-3-3v-to-220/" TargetMode="External"/><Relationship Id="rId24" Type="http://schemas.openxmlformats.org/officeDocument/2006/relationships/hyperlink" Target="https://www.moussasoft.com/produit/led-5mm-rouge/" TargetMode="External"/><Relationship Id="rId25" Type="http://schemas.openxmlformats.org/officeDocument/2006/relationships/hyperlink" Target="https://shop4makers.com/produit/led-5mm/" TargetMode="External"/><Relationship Id="rId26" Type="http://schemas.openxmlformats.org/officeDocument/2006/relationships/hyperlink" Target="https://www.moussasoft.com/produit/relai-electrique-5v-srd-05vdc-sl-c/" TargetMode="External"/><Relationship Id="rId27" Type="http://schemas.openxmlformats.org/officeDocument/2006/relationships/hyperlink" Target="https://www.microplanet.ma/produit/varistance-14mm/" TargetMode="External"/><Relationship Id="rId28" Type="http://schemas.openxmlformats.org/officeDocument/2006/relationships/hyperlink" Target="https://www.moussasoft.com/produit/support-fusible-avec-broche-dip-et-couvercle/" TargetMode="External"/><Relationship Id="rId29" Type="http://schemas.openxmlformats.org/officeDocument/2006/relationships/hyperlink" Target="https://megma.ma/fusible-en-verre-5x20mm-plusieur-valeurs/" TargetMode="External"/><Relationship Id="rId30" Type="http://schemas.openxmlformats.org/officeDocument/2006/relationships/hyperlink" Target="https://shop4makers.com/produit/alimentation-hlk-20m05-ac-dc-5v-4a-20w/" TargetMode="External"/><Relationship Id="rId31" Type="http://schemas.openxmlformats.org/officeDocument/2006/relationships/hyperlink" Target="https://www.microplanet.ma/produit/bornier-a-vis-2-broches/" TargetMode="External"/><Relationship Id="rId32" Type="http://schemas.openxmlformats.org/officeDocument/2006/relationships/hyperlink" Target="https://www.microplanet.ma/produit/bornier-a-vis-3-broches/" TargetMode="External"/><Relationship Id="rId33" Type="http://schemas.openxmlformats.org/officeDocument/2006/relationships/hyperlink" Target="https://www.microplanet.ma/produit/kf128-4p-bornier-a-vis-4-broches/" TargetMode="External"/><Relationship Id="rId34" Type="http://schemas.openxmlformats.org/officeDocument/2006/relationships/hyperlink" Target="https://www.moussasoft.com/produit/rangee-40-pins-a-2-54-mm-femelle/" TargetMode="External"/><Relationship Id="rId35" Type="http://schemas.openxmlformats.org/officeDocument/2006/relationships/hyperlink" Target="https://www.moussasoft.com/produit/rangee-40-pins-a-2-54-mm-male/" TargetMode="External"/><Relationship Id="rId36" Type="http://schemas.openxmlformats.org/officeDocument/2006/relationships/hyperlink" Target="https://shop4makers.com/produit/lot-de-cavaliers-jumpers/" TargetMode="External"/><Relationship Id="rId37" Type="http://schemas.openxmlformats.org/officeDocument/2006/relationships/hyperlink" Target="https://shoppingmaroc.net/connectique-jack/280-connecteur-pcb-55x21mm-dc-power.html" TargetMode="External"/><Relationship Id="rId38" Type="http://schemas.openxmlformats.org/officeDocument/2006/relationships/hyperlink" Target="https://shop4makers.com/produit/capteur-temperature-et-dhumidite-dht11/" TargetMode="External"/><Relationship Id="rId39" Type="http://schemas.openxmlformats.org/officeDocument/2006/relationships/hyperlink" Target="https://shop4makers.com/produit/bme280-capteur-de-pression-humidite/" TargetMode="External"/><Relationship Id="rId40" Type="http://schemas.openxmlformats.org/officeDocument/2006/relationships/hyperlink" Target="https://a2itronic.ma/product/dallas-capteur-de-temperature-1-wire-ds18b20-waterproof-longueur-1m-2/" TargetMode="External"/><Relationship Id="rId41" Type="http://schemas.openxmlformats.org/officeDocument/2006/relationships/hyperlink" Target="https://www.moussasoft.com/produit/photoresistance-gm5539/" TargetMode="External"/><Relationship Id="rId42" Type="http://schemas.openxmlformats.org/officeDocument/2006/relationships/hyperlink" Target="https://www.moussasoft.com/produit/module-detecteur-de-pluie-pour-arduino/" TargetMode="External"/><Relationship Id="rId43" Type="http://schemas.openxmlformats.org/officeDocument/2006/relationships/hyperlink" Target="https://shop4makers.com/produit/capteur-dhumidite-du-sol-capacitif-v1-2/" TargetMode="External"/><Relationship Id="rId44" Type="http://schemas.openxmlformats.org/officeDocument/2006/relationships/hyperlink" Target="https://www.moussasoft.com/produit/hc-sr04-capteur-ultrason-arduino/" TargetMode="External"/><Relationship Id="rId45" Type="http://schemas.openxmlformats.org/officeDocument/2006/relationships/hyperlink" Target="https://www.moussasoft.com/produit/servomoteur-mini-towerpro-sg90-9g/" TargetMode="External"/><Relationship Id="rId46" Type="http://schemas.openxmlformats.org/officeDocument/2006/relationships/hyperlink" Target="https://shop4makers.com/produit/afficheur-oled-0-96-i2c/" TargetMode="External"/><Relationship Id="rId47" Type="http://schemas.openxmlformats.org/officeDocument/2006/relationships/hyperlink" Target="https://a2itronic.ma/product/ds3231-at24c32-iic-horloge-temps-reel-compatible-arduino-raspberry-2/" TargetMode="External"/><Relationship Id="rId48" Type="http://schemas.openxmlformats.org/officeDocument/2006/relationships/hyperlink" Target="https://shop4makers.com/produit/cr2032-maroc/" TargetMode="External"/><Relationship Id="rId49" Type="http://schemas.openxmlformats.org/officeDocument/2006/relationships/hyperlink" Target="https://shop4makers.com/produit/capteur-de-courant-tension-ina226/" TargetMode="External"/><Relationship Id="rId50" Type="http://schemas.openxmlformats.org/officeDocument/2006/relationships/hyperlink" Target="https://www.moussasoft.com/produit/module-micro-sd-card-pour-arduino-maroc-casablanca-agadir-marrakech-fes/" TargetMode="External"/><Relationship Id="rId51" Type="http://schemas.openxmlformats.org/officeDocument/2006/relationships/hyperlink" Target="https://shop4makers.com/produit/diode-1n4007/" TargetMode="External"/><Relationship Id="rId52" Type="http://schemas.openxmlformats.org/officeDocument/2006/relationships/hyperlink" Target="https://shop4makers.com/produit/chargeur-batterie-18650-tp4056-with-protection/" TargetMode="External"/><Relationship Id="rId53" Type="http://schemas.openxmlformats.org/officeDocument/2006/relationships/hyperlink" Target="https://shop4makers.com/produit/elevateur-de-tension-mt3608/" TargetMode="External"/><Relationship Id="rId54" Type="http://schemas.openxmlformats.org/officeDocument/2006/relationships/hyperlink" Target="https://shop4makers.com/produit/lg-chem-inr18650mh1-18650-3200mah-10a/" TargetMode="External"/><Relationship Id="rId55" Type="http://schemas.openxmlformats.org/officeDocument/2006/relationships/hyperlink" Target="https://www.microplanet.ma/produit/porte-piles-pour-batterie-18650-x-1/" TargetMode="External"/><Relationship Id="rId56" Type="http://schemas.openxmlformats.org/officeDocument/2006/relationships/hyperlink" Target="https://www.jumia.ma/generic-panneau-solaire-6v-3.8w-pour-charger-les-telephones-63660146.html" TargetMode="External"/><Relationship Id="rId57" Type="http://schemas.openxmlformats.org/officeDocument/2006/relationships/hyperlink" Target="https://megma.ma/alimentation-chargeur-5v-2a/" TargetMode="External"/><Relationship Id="rId58" Type="http://schemas.openxmlformats.org/officeDocument/2006/relationships/hyperlink" Target="https://www.moussasoft.com/produit/cable-usb-type-a-vers-connecteur-jack-5-5x2-1mm-maroc/" TargetMode="External"/><Relationship Id="rId59" Type="http://schemas.openxmlformats.org/officeDocument/2006/relationships/hyperlink" Target="https://shop4makers.com/produit/mp1584en-buck-module/" TargetMode="External"/><Relationship Id="rId60" Type="http://schemas.openxmlformats.org/officeDocument/2006/relationships/hyperlink" Target="https://www.jumia.ma/sunlight-batterie-12v-12ah-spa-etanche-vrla-agm-67767021.html" TargetMode="External"/><Relationship Id="rId61" Type="http://schemas.openxmlformats.org/officeDocument/2006/relationships/hyperlink" Target="https://www.jumia.ma/generic-controleur-de-charge-solaire-12v24v-pwm-10a-avec-reglable-lcd-affichage-minuterie-reglage-64778946.html" TargetMode="External"/><Relationship Id="rId62" Type="http://schemas.openxmlformats.org/officeDocument/2006/relationships/hyperlink" Target="https://www.jumia.ma/generic-panneau-solaire-20w-topcon-united-energy-65599530.html" TargetMode="External"/><Relationship Id="rId63" Type="http://schemas.openxmlformats.org/officeDocument/2006/relationships/hyperlink" Target="https://www.la-librairie.ma/produit/cable-dalimentation-2-pins/" TargetMode="External"/><Relationship Id="rId64" Type="http://schemas.openxmlformats.org/officeDocument/2006/relationships/hyperlink" Target="https://dsindustrie.com/produit/vis-plastique-tete-hexagonale-m2-m2-5-m3-m4-ensemble-200-pieces-maroc/" TargetMode="External"/><Relationship Id="rId65" Type="http://schemas.openxmlformats.org/officeDocument/2006/relationships/hyperlink" Target="https://energymarket.ma/product/coffret-electrique-etanche-ip65-abs-haute-resistance-plusieurs-dimensions-disponibles" TargetMode="External"/><Relationship Id="rId66" Type="http://schemas.openxmlformats.org/officeDocument/2006/relationships/hyperlink" Target="https://electrodelivery.ma/fr/cables/813-cable-075.html" TargetMode="External"/><Relationship Id="rId67" Type="http://schemas.openxmlformats.org/officeDocument/2006/relationships/hyperlink" Target="https://electrodelivery.ma/fr/cables/812-cable-souple-215-.html" TargetMode="External"/><Relationship Id="rId68" Type="http://schemas.openxmlformats.org/officeDocument/2006/relationships/hyperlink" Target="https://www.moussasoft.com/produit/kit-doutils-de-sertissage-de-ferrules-auto-ajustable-pince-1200-embouts-de-fils/" TargetMode="External"/><Relationship Id="rId69" Type="http://schemas.openxmlformats.org/officeDocument/2006/relationships/hyperlink" Target="https://a2itronic.ma/product/vernis-de-tropicalisation-tropicoat-520-ml-2/" TargetMode="External"/><Relationship Id="rId70" Type="http://schemas.openxmlformats.org/officeDocument/2006/relationships/hyperlink" Target="https://www.microplanet.ma/produit/cable-dupont-malefemelle-20cm-x-40/" TargetMode="External"/><Relationship Id="rId7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www.microplanet.ma/produit/resistances-14w-50-valeurs-precision-1-1-packet-5-unites/" TargetMode="External"/><Relationship Id="rId9" Type="http://schemas.openxmlformats.org/officeDocument/2006/relationships/hyperlink" Target="https://a2itronic.ma/product/condensateur-ceramique-01uf-50v-2/" TargetMode="External"/><Relationship Id="rId10" Type="http://schemas.openxmlformats.org/officeDocument/2006/relationships/hyperlink" Target="https://a2itronic.ma/product/condensateur-electrolytique-aluminium-10uf-50v-dc-2/" TargetMode="External"/><Relationship Id="rId11" Type="http://schemas.openxmlformats.org/officeDocument/2006/relationships/hyperlink" Target="https://a2itronic.ma/product/100uf16v-condensateur-5x7mm-electrolytique-2/" TargetMode="External"/><Relationship Id="rId12" Type="http://schemas.openxmlformats.org/officeDocument/2006/relationships/hyperlink" Target="https://a2itronic.ma/product/470uf25v-condensateur-8x12-2/" TargetMode="External"/><Relationship Id="rId13" Type="http://schemas.openxmlformats.org/officeDocument/2006/relationships/hyperlink" Target="https://a2itronic.ma/product/condensateur-electrolytique-aluminium-1000uf-25v-dc-2/" TargetMode="External"/><Relationship Id="rId14" Type="http://schemas.openxmlformats.org/officeDocument/2006/relationships/hyperlink" Target="https://www.moussasoft.com/produit/bat-85-diode-schottky-30v-200ma/" TargetMode="External"/><Relationship Id="rId15" Type="http://schemas.openxmlformats.org/officeDocument/2006/relationships/hyperlink" Target="https://www.lcsc.com/search?q=C412500" TargetMode="External"/><Relationship Id="rId16" Type="http://schemas.openxmlformats.org/officeDocument/2006/relationships/hyperlink" Target="https://a2itronic.ma/product/bc337-40-npn-45v-800ma-2/" TargetMode="External"/><Relationship Id="rId17" Type="http://schemas.openxmlformats.org/officeDocument/2006/relationships/hyperlink" Target="https://a2itronic.ma/product/irf4905pbf-irf4905-mosfet-canal-p-74a-55v-to-220/" TargetMode="External"/><Relationship Id="rId18" Type="http://schemas.openxmlformats.org/officeDocument/2006/relationships/hyperlink" Target="https://megma.ma/regulateur-de-tension-lm1117t-3-3v-to-220/" TargetMode="External"/><Relationship Id="rId19" Type="http://schemas.openxmlformats.org/officeDocument/2006/relationships/hyperlink" Target="https://www.microplanet.ma/produit/bornier-a-vis-2-broches/" TargetMode="External"/><Relationship Id="rId20" Type="http://schemas.openxmlformats.org/officeDocument/2006/relationships/hyperlink" Target="https://www.microplanet.ma/produit/bornier-a-vis-3-broches/" TargetMode="External"/><Relationship Id="rId21" Type="http://schemas.openxmlformats.org/officeDocument/2006/relationships/hyperlink" Target="https://www.moussasoft.com/produit/rangee-40-pins-a-2-54-mm-femelle/" TargetMode="External"/><Relationship Id="rId22" Type="http://schemas.openxmlformats.org/officeDocument/2006/relationships/hyperlink" Target="https://www.moussasoft.com/produit/rangee-40-pins-a-2-54-mm-male/" TargetMode="External"/><Relationship Id="rId23" Type="http://schemas.openxmlformats.org/officeDocument/2006/relationships/hyperlink" Target="https://shop4makers.com/produit/lot-de-cavaliers-jumpers/" TargetMode="External"/><Relationship Id="rId24" Type="http://schemas.openxmlformats.org/officeDocument/2006/relationships/hyperlink" Target="https://shop4makers.com/produit/capteur-temperature-et-dhumidite-dht11/" TargetMode="External"/><Relationship Id="rId25" Type="http://schemas.openxmlformats.org/officeDocument/2006/relationships/hyperlink" Target="https://shop4makers.com/produit/bme280-capteur-de-pression-humidite/" TargetMode="External"/><Relationship Id="rId26" Type="http://schemas.openxmlformats.org/officeDocument/2006/relationships/hyperlink" Target="https://a2itronic.ma/product/dallas-capteur-de-temperature-1-wire-ds18b20-waterproof-longueur-1m-2/" TargetMode="External"/><Relationship Id="rId27" Type="http://schemas.openxmlformats.org/officeDocument/2006/relationships/hyperlink" Target="https://www.moussasoft.com/produit/photoresistance-gm5539/" TargetMode="External"/><Relationship Id="rId28" Type="http://schemas.openxmlformats.org/officeDocument/2006/relationships/hyperlink" Target="https://www.moussasoft.com/produit/module-detecteur-de-pluie-pour-arduino/" TargetMode="External"/><Relationship Id="rId29" Type="http://schemas.openxmlformats.org/officeDocument/2006/relationships/hyperlink" Target="https://shop4makers.com/produit/capteur-dhumidite-du-sol-capacitif-v1-2/" TargetMode="External"/><Relationship Id="rId30" Type="http://schemas.openxmlformats.org/officeDocument/2006/relationships/hyperlink" Target="https://www.moussasoft.com/produit/servomoteur-mini-towerpro-sg90-9g/" TargetMode="External"/><Relationship Id="rId31" Type="http://schemas.openxmlformats.org/officeDocument/2006/relationships/hyperlink" Target="https://shop4makers.com/produit/afficheur-oled-0-96-i2c/" TargetMode="External"/><Relationship Id="rId32" Type="http://schemas.openxmlformats.org/officeDocument/2006/relationships/hyperlink" Target="https://shop4makers.com/produit/chargeur-batterie-18650-tp4056-with-protection/" TargetMode="External"/><Relationship Id="rId33" Type="http://schemas.openxmlformats.org/officeDocument/2006/relationships/hyperlink" Target="https://shop4makers.com/produit/elevateur-de-tension-mt3608/" TargetMode="External"/><Relationship Id="rId34" Type="http://schemas.openxmlformats.org/officeDocument/2006/relationships/hyperlink" Target="https://shop4makers.com/produit/lg-chem-inr18650mh1-18650-3200mah-10a/" TargetMode="External"/><Relationship Id="rId35" Type="http://schemas.openxmlformats.org/officeDocument/2006/relationships/hyperlink" Target="https://www.microplanet.ma/produit/porte-piles-pour-batterie-18650-x-1/" TargetMode="External"/><Relationship Id="rId36" Type="http://schemas.openxmlformats.org/officeDocument/2006/relationships/hyperlink" Target="https://www.jumia.ma/generic-panneau-solaire-6v-3.8w-pour-charger-les-telephones-63660146.html" TargetMode="External"/><Relationship Id="rId37" Type="http://schemas.openxmlformats.org/officeDocument/2006/relationships/hyperlink" Target="https://dsindustrie.com/produit/vis-plastique-tete-hexagonale-m2-m2-5-m3-m4-ensemble-200-pieces-maroc/" TargetMode="External"/><Relationship Id="rId38" Type="http://schemas.openxmlformats.org/officeDocument/2006/relationships/hyperlink" Target="https://energymarket.ma/product/coffret-electrique-etanche-ip65-abs-haute-resistance-plusieurs-dimensions-disponibles" TargetMode="External"/><Relationship Id="rId39" Type="http://schemas.openxmlformats.org/officeDocument/2006/relationships/hyperlink" Target="https://electrodelivery.ma/fr/cables/813-cable-075.html" TargetMode="External"/><Relationship Id="rId40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a2itronic.ma/product/condensateur-ceramique-01uf-50v-2/" TargetMode="External"/><Relationship Id="rId9" Type="http://schemas.openxmlformats.org/officeDocument/2006/relationships/hyperlink" Target="https://a2itronic.ma/product/condensateur-electrolytique-aluminium-10uf-50v-dc-2/" TargetMode="External"/><Relationship Id="rId10" Type="http://schemas.openxmlformats.org/officeDocument/2006/relationships/hyperlink" Target="https://a2itronic.ma/product/100uf16v-condensateur-5x7mm-electrolytique-2/" TargetMode="External"/><Relationship Id="rId11" Type="http://schemas.openxmlformats.org/officeDocument/2006/relationships/hyperlink" Target="https://a2itronic.ma/product/condensateur-electrolytique-aluminium-1000uf-25v-dc-2/" TargetMode="External"/><Relationship Id="rId12" Type="http://schemas.openxmlformats.org/officeDocument/2006/relationships/hyperlink" Target="https://shop4makers.com/produit/diode-1n4007/" TargetMode="External"/><Relationship Id="rId13" Type="http://schemas.openxmlformats.org/officeDocument/2006/relationships/hyperlink" Target="https://www.moussasoft.com/produit/bat-85-diode-schottky-30v-200ma/" TargetMode="External"/><Relationship Id="rId14" Type="http://schemas.openxmlformats.org/officeDocument/2006/relationships/hyperlink" Target="https://www.lcsc.com/search?q=C412500" TargetMode="External"/><Relationship Id="rId15" Type="http://schemas.openxmlformats.org/officeDocument/2006/relationships/hyperlink" Target="https://a2itronic.ma/product/bc337-40-npn-45v-800ma-2/" TargetMode="External"/><Relationship Id="rId16" Type="http://schemas.openxmlformats.org/officeDocument/2006/relationships/hyperlink" Target="https://a2itronic.ma/product/irf4905pbf-irf4905-mosfet-canal-p-74a-55v-to-220/" TargetMode="External"/><Relationship Id="rId17" Type="http://schemas.openxmlformats.org/officeDocument/2006/relationships/hyperlink" Target="https://megma.ma/regulateur-de-tension-lm1117t-3-3v-to-220/" TargetMode="External"/><Relationship Id="rId18" Type="http://schemas.openxmlformats.org/officeDocument/2006/relationships/hyperlink" Target="https://www.moussasoft.com/produit/led-5mm-rouge/" TargetMode="External"/><Relationship Id="rId19" Type="http://schemas.openxmlformats.org/officeDocument/2006/relationships/hyperlink" Target="https://www.moussasoft.com/produit/relai-electrique-5v-srd-05vdc-sl-c/" TargetMode="External"/><Relationship Id="rId20" Type="http://schemas.openxmlformats.org/officeDocument/2006/relationships/hyperlink" Target="https://www.microplanet.ma/produit/bornier-a-vis-2-broches/" TargetMode="External"/><Relationship Id="rId21" Type="http://schemas.openxmlformats.org/officeDocument/2006/relationships/hyperlink" Target="https://www.microplanet.ma/produit/bornier-a-vis-3-broches/" TargetMode="External"/><Relationship Id="rId22" Type="http://schemas.openxmlformats.org/officeDocument/2006/relationships/hyperlink" Target="https://www.moussasoft.com/produit/rangee-40-pins-a-2-54-mm-femelle/" TargetMode="External"/><Relationship Id="rId23" Type="http://schemas.openxmlformats.org/officeDocument/2006/relationships/hyperlink" Target="https://www.moussasoft.com/produit/rangee-40-pins-a-2-54-mm-male/" TargetMode="External"/><Relationship Id="rId24" Type="http://schemas.openxmlformats.org/officeDocument/2006/relationships/hyperlink" Target="https://shop4makers.com/produit/lot-de-cavaliers-jumpers/" TargetMode="External"/><Relationship Id="rId25" Type="http://schemas.openxmlformats.org/officeDocument/2006/relationships/hyperlink" Target="https://shoppingmaroc.net/connectique-jack/280-connecteur-pcb-55x21mm-dc-power.html" TargetMode="External"/><Relationship Id="rId26" Type="http://schemas.openxmlformats.org/officeDocument/2006/relationships/hyperlink" Target="https://shop4makers.com/produit/capteur-temperature-et-dhumidite-dht11/" TargetMode="External"/><Relationship Id="rId27" Type="http://schemas.openxmlformats.org/officeDocument/2006/relationships/hyperlink" Target="https://shop4makers.com/produit/bme280-capteur-de-pression-humidite/" TargetMode="External"/><Relationship Id="rId28" Type="http://schemas.openxmlformats.org/officeDocument/2006/relationships/hyperlink" Target="https://www.moussasoft.com/produit/photoresistance-gm5539/" TargetMode="External"/><Relationship Id="rId29" Type="http://schemas.openxmlformats.org/officeDocument/2006/relationships/hyperlink" Target="https://shop4makers.com/produit/capteur-dhumidite-du-sol-capacitif-v1-2/" TargetMode="External"/><Relationship Id="rId30" Type="http://schemas.openxmlformats.org/officeDocument/2006/relationships/hyperlink" Target="https://shop4makers.com/produit/afficheur-oled-0-96-i2c/" TargetMode="External"/><Relationship Id="rId31" Type="http://schemas.openxmlformats.org/officeDocument/2006/relationships/hyperlink" Target="https://shop4makers.com/produit/diode-1n4007/" TargetMode="External"/><Relationship Id="rId32" Type="http://schemas.openxmlformats.org/officeDocument/2006/relationships/hyperlink" Target="https://megma.ma/alimentation-chargeur-5v-2a/" TargetMode="External"/><Relationship Id="rId33" Type="http://schemas.openxmlformats.org/officeDocument/2006/relationships/hyperlink" Target="https://www.moussasoft.com/produit/cable-usb-type-a-vers-connecteur-jack-5-5x2-1mm-maroc/" TargetMode="External"/><Relationship Id="rId34" Type="http://schemas.openxmlformats.org/officeDocument/2006/relationships/hyperlink" Target="https://dsindustrie.com/produit/vis-plastique-tete-hexagonale-m2-m2-5-m3-m4-ensemble-200-pieces-maroc/" TargetMode="External"/><Relationship Id="rId35" Type="http://schemas.openxmlformats.org/officeDocument/2006/relationships/hyperlink" Target="https://energymarket.ma/product/coffret-electrique-etanche-ip65-abs-haute-resistance-plusieurs-dimensions-disponibles" TargetMode="External"/><Relationship Id="rId36" Type="http://schemas.openxmlformats.org/officeDocument/2006/relationships/hyperlink" Target="https://electrodelivery.ma/fr/cables/813-cable-075.html" TargetMode="External"/><Relationship Id="rId37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www.microplanet.ma/produit/resistances-14w-50-valeurs-precision-1-1-packet-5-unites/" TargetMode="External"/><Relationship Id="rId9" Type="http://schemas.openxmlformats.org/officeDocument/2006/relationships/hyperlink" Target="https://a2itronic.ma/product/condensateur-ceramique-01uf-50v-2/" TargetMode="External"/><Relationship Id="rId10" Type="http://schemas.openxmlformats.org/officeDocument/2006/relationships/hyperlink" Target="https://a2itronic.ma/product/condensateur-electrolytique-aluminium-10uf-50v-dc-2/" TargetMode="External"/><Relationship Id="rId11" Type="http://schemas.openxmlformats.org/officeDocument/2006/relationships/hyperlink" Target="https://a2itronic.ma/product/100uf16v-condensateur-5x7mm-electrolytique-2/" TargetMode="External"/><Relationship Id="rId12" Type="http://schemas.openxmlformats.org/officeDocument/2006/relationships/hyperlink" Target="https://a2itronic.ma/product/470uf25v-condensateur-8x12-2/" TargetMode="External"/><Relationship Id="rId13" Type="http://schemas.openxmlformats.org/officeDocument/2006/relationships/hyperlink" Target="https://a2itronic.ma/product/condensateur-electrolytique-aluminium-1000uf-25v-dc-2/" TargetMode="External"/><Relationship Id="rId14" Type="http://schemas.openxmlformats.org/officeDocument/2006/relationships/hyperlink" Target="https://shop4makers.com/produit/diode-1n4007/" TargetMode="External"/><Relationship Id="rId15" Type="http://schemas.openxmlformats.org/officeDocument/2006/relationships/hyperlink" Target="https://www.lcsc.com/search?q=C412500" TargetMode="External"/><Relationship Id="rId16" Type="http://schemas.openxmlformats.org/officeDocument/2006/relationships/hyperlink" Target="https://a2itronic.ma/product/bc337-40-npn-45v-800ma-2/" TargetMode="External"/><Relationship Id="rId17" Type="http://schemas.openxmlformats.org/officeDocument/2006/relationships/hyperlink" Target="https://a2itronic.ma/product/irf4905pbf-irf4905-mosfet-canal-p-74a-55v-to-220/" TargetMode="External"/><Relationship Id="rId18" Type="http://schemas.openxmlformats.org/officeDocument/2006/relationships/hyperlink" Target="https://megma.ma/regulateur-de-tension-lm1117t-3-3v-to-220/" TargetMode="External"/><Relationship Id="rId19" Type="http://schemas.openxmlformats.org/officeDocument/2006/relationships/hyperlink" Target="https://www.moussasoft.com/produit/led-5mm-rouge/" TargetMode="External"/><Relationship Id="rId20" Type="http://schemas.openxmlformats.org/officeDocument/2006/relationships/hyperlink" Target="https://shop4makers.com/produit/led-5mm/" TargetMode="External"/><Relationship Id="rId21" Type="http://schemas.openxmlformats.org/officeDocument/2006/relationships/hyperlink" Target="https://www.moussasoft.com/produit/relai-electrique-5v-srd-05vdc-sl-c/" TargetMode="External"/><Relationship Id="rId22" Type="http://schemas.openxmlformats.org/officeDocument/2006/relationships/hyperlink" Target="https://www.microplanet.ma/produit/varistance-14mm/" TargetMode="External"/><Relationship Id="rId23" Type="http://schemas.openxmlformats.org/officeDocument/2006/relationships/hyperlink" Target="https://www.moussasoft.com/produit/support-fusible-avec-broche-dip-et-couvercle/" TargetMode="External"/><Relationship Id="rId24" Type="http://schemas.openxmlformats.org/officeDocument/2006/relationships/hyperlink" Target="https://megma.ma/fusible-en-verre-5x20mm-plusieur-valeurs/" TargetMode="External"/><Relationship Id="rId25" Type="http://schemas.openxmlformats.org/officeDocument/2006/relationships/hyperlink" Target="https://shop4makers.com/produit/alimentation-hlk-20m05-ac-dc-5v-4a-20w/" TargetMode="External"/><Relationship Id="rId26" Type="http://schemas.openxmlformats.org/officeDocument/2006/relationships/hyperlink" Target="https://www.microplanet.ma/produit/bornier-a-vis-2-broches/" TargetMode="External"/><Relationship Id="rId27" Type="http://schemas.openxmlformats.org/officeDocument/2006/relationships/hyperlink" Target="https://www.microplanet.ma/produit/bornier-a-vis-3-broches/" TargetMode="External"/><Relationship Id="rId28" Type="http://schemas.openxmlformats.org/officeDocument/2006/relationships/hyperlink" Target="https://www.microplanet.ma/produit/kf128-4p-bornier-a-vis-4-broches/" TargetMode="External"/><Relationship Id="rId29" Type="http://schemas.openxmlformats.org/officeDocument/2006/relationships/hyperlink" Target="https://www.moussasoft.com/produit/rangee-40-pins-a-2-54-mm-femelle/" TargetMode="External"/><Relationship Id="rId30" Type="http://schemas.openxmlformats.org/officeDocument/2006/relationships/hyperlink" Target="https://www.moussasoft.com/produit/rangee-40-pins-a-2-54-mm-male/" TargetMode="External"/><Relationship Id="rId31" Type="http://schemas.openxmlformats.org/officeDocument/2006/relationships/hyperlink" Target="https://shop4makers.com/produit/lot-de-cavaliers-jumpers/" TargetMode="External"/><Relationship Id="rId32" Type="http://schemas.openxmlformats.org/officeDocument/2006/relationships/hyperlink" Target="https://shop4makers.com/produit/capteur-temperature-et-dhumidite-dht11/" TargetMode="External"/><Relationship Id="rId33" Type="http://schemas.openxmlformats.org/officeDocument/2006/relationships/hyperlink" Target="https://a2itronic.ma/product/dallas-capteur-de-temperature-1-wire-ds18b20-waterproof-longueur-1m-2/" TargetMode="External"/><Relationship Id="rId34" Type="http://schemas.openxmlformats.org/officeDocument/2006/relationships/hyperlink" Target="https://www.moussasoft.com/produit/photoresistance-gm5539/" TargetMode="External"/><Relationship Id="rId35" Type="http://schemas.openxmlformats.org/officeDocument/2006/relationships/hyperlink" Target="https://www.moussasoft.com/produit/hc-sr04-capteur-ultrason-arduino/" TargetMode="External"/><Relationship Id="rId36" Type="http://schemas.openxmlformats.org/officeDocument/2006/relationships/hyperlink" Target="https://www.moussasoft.com/produit/servomoteur-mini-towerpro-sg90-9g/" TargetMode="External"/><Relationship Id="rId37" Type="http://schemas.openxmlformats.org/officeDocument/2006/relationships/hyperlink" Target="https://shop4makers.com/produit/afficheur-oled-0-96-i2c/" TargetMode="External"/><Relationship Id="rId38" Type="http://schemas.openxmlformats.org/officeDocument/2006/relationships/hyperlink" Target="https://a2itronic.ma/product/ds3231-at24c32-iic-horloge-temps-reel-compatible-arduino-raspberry-2/" TargetMode="External"/><Relationship Id="rId39" Type="http://schemas.openxmlformats.org/officeDocument/2006/relationships/hyperlink" Target="https://shop4makers.com/produit/cr2032-maroc/" TargetMode="External"/><Relationship Id="rId40" Type="http://schemas.openxmlformats.org/officeDocument/2006/relationships/hyperlink" Target="https://www.moussasoft.com/produit/module-micro-sd-card-pour-arduino-maroc-casablanca-agadir-marrakech-fes/" TargetMode="External"/><Relationship Id="rId41" Type="http://schemas.openxmlformats.org/officeDocument/2006/relationships/hyperlink" Target="https://www.la-librairie.ma/produit/cable-dalimentation-2-pins/" TargetMode="External"/><Relationship Id="rId42" Type="http://schemas.openxmlformats.org/officeDocument/2006/relationships/hyperlink" Target="https://dsindustrie.com/produit/vis-plastique-tete-hexagonale-m2-m2-5-m3-m4-ensemble-200-pieces-maroc/" TargetMode="External"/><Relationship Id="rId43" Type="http://schemas.openxmlformats.org/officeDocument/2006/relationships/hyperlink" Target="https://energymarket.ma/product/coffret-electrique-etanche-ip65-abs-haute-resistance-plusieurs-dimensions-disponibles" TargetMode="External"/><Relationship Id="rId44" Type="http://schemas.openxmlformats.org/officeDocument/2006/relationships/hyperlink" Target="https://electrodelivery.ma/fr/cables/813-cable-075.html" TargetMode="External"/><Relationship Id="rId45" Type="http://schemas.openxmlformats.org/officeDocument/2006/relationships/hyperlink" Target="https://electrodelivery.ma/fr/cables/812-cable-souple-215-.html" TargetMode="External"/><Relationship Id="rId46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lcpcb.com/" TargetMode="External"/><Relationship Id="rId2" Type="http://schemas.openxmlformats.org/officeDocument/2006/relationships/hyperlink" Target="https://shop4makers.com/produit/esp32-wroom-cp2102/" TargetMode="External"/><Relationship Id="rId3" Type="http://schemas.openxmlformats.org/officeDocument/2006/relationships/hyperlink" Target="https://www.microplanet.ma/produit/resistances-14w-50-valeurs-precision-1-1-packet-5-unites/" TargetMode="External"/><Relationship Id="rId4" Type="http://schemas.openxmlformats.org/officeDocument/2006/relationships/hyperlink" Target="https://www.microplanet.ma/produit/resistances-14w-50-valeurs-precision-1-1-packet-5-unites/" TargetMode="External"/><Relationship Id="rId5" Type="http://schemas.openxmlformats.org/officeDocument/2006/relationships/hyperlink" Target="https://www.microplanet.ma/produit/resistances-14w-50-valeurs-precision-1-1-packet-5-unites/" TargetMode="External"/><Relationship Id="rId6" Type="http://schemas.openxmlformats.org/officeDocument/2006/relationships/hyperlink" Target="https://www.microplanet.ma/produit/resistances-14w-50-valeurs-precision-1-1-packet-5-unites/" TargetMode="External"/><Relationship Id="rId7" Type="http://schemas.openxmlformats.org/officeDocument/2006/relationships/hyperlink" Target="https://www.microplanet.ma/produit/resistances-14w-50-valeurs-precision-1-1-packet-5-unites/" TargetMode="External"/><Relationship Id="rId8" Type="http://schemas.openxmlformats.org/officeDocument/2006/relationships/hyperlink" Target="https://www.microplanet.ma/produit/resistances-14w-50-valeurs-precision-1-1-packet-5-unites/" TargetMode="External"/><Relationship Id="rId9" Type="http://schemas.openxmlformats.org/officeDocument/2006/relationships/hyperlink" Target="https://www.microplanet.ma/produit/resistances-14w-50-valeurs-precision-1-1-packet-5-unites/" TargetMode="External"/><Relationship Id="rId10" Type="http://schemas.openxmlformats.org/officeDocument/2006/relationships/hyperlink" Target="https://a2itronic.ma/product/condensateur-ceramique-01uf-50v-2/" TargetMode="External"/><Relationship Id="rId11" Type="http://schemas.openxmlformats.org/officeDocument/2006/relationships/hyperlink" Target="https://a2itronic.ma/product/condensateur-electrolytique-aluminium-10uf-50v-dc-2/" TargetMode="External"/><Relationship Id="rId12" Type="http://schemas.openxmlformats.org/officeDocument/2006/relationships/hyperlink" Target="https://a2itronic.ma/product/100uf16v-condensateur-5x7mm-electrolytique-2/" TargetMode="External"/><Relationship Id="rId13" Type="http://schemas.openxmlformats.org/officeDocument/2006/relationships/hyperlink" Target="https://a2itronic.ma/product/470uf25v-condensateur-8x12-2/" TargetMode="External"/><Relationship Id="rId14" Type="http://schemas.openxmlformats.org/officeDocument/2006/relationships/hyperlink" Target="https://a2itronic.ma/product/470uf25v-condensateur-8x12-2/" TargetMode="External"/><Relationship Id="rId15" Type="http://schemas.openxmlformats.org/officeDocument/2006/relationships/hyperlink" Target="https://a2itronic.ma/product/condensateur-electrolytique-aluminium-1000uf-25v-dc-2/" TargetMode="External"/><Relationship Id="rId16" Type="http://schemas.openxmlformats.org/officeDocument/2006/relationships/hyperlink" Target="https://shop4makers.com/produit/diode-1n4007/" TargetMode="External"/><Relationship Id="rId17" Type="http://schemas.openxmlformats.org/officeDocument/2006/relationships/hyperlink" Target="https://www.moussasoft.com/produit/bat-85-diode-schottky-30v-200ma/" TargetMode="External"/><Relationship Id="rId18" Type="http://schemas.openxmlformats.org/officeDocument/2006/relationships/hyperlink" Target="https://www.lcsc.com/search?q=C412500" TargetMode="External"/><Relationship Id="rId19" Type="http://schemas.openxmlformats.org/officeDocument/2006/relationships/hyperlink" Target="https://www.lcsc.com/search?q=C1666858" TargetMode="External"/><Relationship Id="rId20" Type="http://schemas.openxmlformats.org/officeDocument/2006/relationships/hyperlink" Target="https://www.microplanet.ma/produit/diode-zener-14-valeurs-3-3v-30v-1w/" TargetMode="External"/><Relationship Id="rId21" Type="http://schemas.openxmlformats.org/officeDocument/2006/relationships/hyperlink" Target="https://a2itronic.ma/product/bc337-40-npn-45v-800ma-2/" TargetMode="External"/><Relationship Id="rId22" Type="http://schemas.openxmlformats.org/officeDocument/2006/relationships/hyperlink" Target="https://a2itronic.ma/product/irf4905pbf-irf4905-mosfet-canal-p-74a-55v-to-220/" TargetMode="External"/><Relationship Id="rId23" Type="http://schemas.openxmlformats.org/officeDocument/2006/relationships/hyperlink" Target="https://megma.ma/regulateur-de-tension-lm1117t-3-3v-to-220/" TargetMode="External"/><Relationship Id="rId24" Type="http://schemas.openxmlformats.org/officeDocument/2006/relationships/hyperlink" Target="https://www.moussasoft.com/produit/led-5mm-rouge/" TargetMode="External"/><Relationship Id="rId25" Type="http://schemas.openxmlformats.org/officeDocument/2006/relationships/hyperlink" Target="https://shop4makers.com/produit/led-5mm/" TargetMode="External"/><Relationship Id="rId26" Type="http://schemas.openxmlformats.org/officeDocument/2006/relationships/hyperlink" Target="https://www.moussasoft.com/produit/relai-electrique-5v-srd-05vdc-sl-c/" TargetMode="External"/><Relationship Id="rId27" Type="http://schemas.openxmlformats.org/officeDocument/2006/relationships/hyperlink" Target="https://www.microplanet.ma/produit/bornier-a-vis-2-broches/" TargetMode="External"/><Relationship Id="rId28" Type="http://schemas.openxmlformats.org/officeDocument/2006/relationships/hyperlink" Target="https://www.microplanet.ma/produit/bornier-a-vis-3-broches/" TargetMode="External"/><Relationship Id="rId29" Type="http://schemas.openxmlformats.org/officeDocument/2006/relationships/hyperlink" Target="https://www.microplanet.ma/produit/kf128-4p-bornier-a-vis-4-broches/" TargetMode="External"/><Relationship Id="rId30" Type="http://schemas.openxmlformats.org/officeDocument/2006/relationships/hyperlink" Target="https://www.moussasoft.com/produit/rangee-40-pins-a-2-54-mm-femelle/" TargetMode="External"/><Relationship Id="rId31" Type="http://schemas.openxmlformats.org/officeDocument/2006/relationships/hyperlink" Target="https://www.moussasoft.com/produit/rangee-40-pins-a-2-54-mm-male/" TargetMode="External"/><Relationship Id="rId32" Type="http://schemas.openxmlformats.org/officeDocument/2006/relationships/hyperlink" Target="https://shop4makers.com/produit/lot-de-cavaliers-jumpers/" TargetMode="External"/><Relationship Id="rId33" Type="http://schemas.openxmlformats.org/officeDocument/2006/relationships/hyperlink" Target="https://shop4makers.com/produit/capteur-temperature-et-dhumidite-dht11/" TargetMode="External"/><Relationship Id="rId34" Type="http://schemas.openxmlformats.org/officeDocument/2006/relationships/hyperlink" Target="https://a2itronic.ma/product/dallas-capteur-de-temperature-1-wire-ds18b20-waterproof-longueur-1m-2/" TargetMode="External"/><Relationship Id="rId35" Type="http://schemas.openxmlformats.org/officeDocument/2006/relationships/hyperlink" Target="https://www.moussasoft.com/produit/photoresistance-gm5539/" TargetMode="External"/><Relationship Id="rId36" Type="http://schemas.openxmlformats.org/officeDocument/2006/relationships/hyperlink" Target="https://www.moussasoft.com/produit/hc-sr04-capteur-ultrason-arduino/" TargetMode="External"/><Relationship Id="rId37" Type="http://schemas.openxmlformats.org/officeDocument/2006/relationships/hyperlink" Target="https://www.moussasoft.com/produit/servomoteur-mini-towerpro-sg90-9g/" TargetMode="External"/><Relationship Id="rId38" Type="http://schemas.openxmlformats.org/officeDocument/2006/relationships/hyperlink" Target="https://shop4makers.com/produit/afficheur-oled-0-96-i2c/" TargetMode="External"/><Relationship Id="rId39" Type="http://schemas.openxmlformats.org/officeDocument/2006/relationships/hyperlink" Target="https://a2itronic.ma/product/ds3231-at24c32-iic-horloge-temps-reel-compatible-arduino-raspberry-2/" TargetMode="External"/><Relationship Id="rId40" Type="http://schemas.openxmlformats.org/officeDocument/2006/relationships/hyperlink" Target="https://shop4makers.com/produit/cr2032-maroc/" TargetMode="External"/><Relationship Id="rId41" Type="http://schemas.openxmlformats.org/officeDocument/2006/relationships/hyperlink" Target="https://shop4makers.com/produit/capteur-de-courant-tension-ina226/" TargetMode="External"/><Relationship Id="rId42" Type="http://schemas.openxmlformats.org/officeDocument/2006/relationships/hyperlink" Target="https://shop4makers.com/produit/capteur-de-courant-tension-ina226/" TargetMode="External"/><Relationship Id="rId43" Type="http://schemas.openxmlformats.org/officeDocument/2006/relationships/hyperlink" Target="https://shop4makers.com/produit/diode-1n4007/" TargetMode="External"/><Relationship Id="rId44" Type="http://schemas.openxmlformats.org/officeDocument/2006/relationships/hyperlink" Target="https://shop4makers.com/produit/mp1584en-buck-module/" TargetMode="External"/><Relationship Id="rId45" Type="http://schemas.openxmlformats.org/officeDocument/2006/relationships/hyperlink" Target="https://www.jumia.ma/sunlight-batterie-12v-12ah-spa-etanche-vrla-agm-67767021.html" TargetMode="External"/><Relationship Id="rId46" Type="http://schemas.openxmlformats.org/officeDocument/2006/relationships/hyperlink" Target="https://www.jumia.ma/generic-controleur-de-charge-solaire-12v24v-pwm-10a-avec-reglable-lcd-affichage-minuterie-reglage-64778946.html" TargetMode="External"/><Relationship Id="rId47" Type="http://schemas.openxmlformats.org/officeDocument/2006/relationships/hyperlink" Target="https://www.jumia.ma/generic-panneau-solaire-20w-topcon-united-energy-65599530.html" TargetMode="External"/><Relationship Id="rId48" Type="http://schemas.openxmlformats.org/officeDocument/2006/relationships/hyperlink" Target="https://dsindustrie.com/produit/vis-plastique-tete-hexagonale-m2-m2-5-m3-m4-ensemble-200-pieces-maroc/" TargetMode="External"/><Relationship Id="rId49" Type="http://schemas.openxmlformats.org/officeDocument/2006/relationships/hyperlink" Target="https://energymarket.ma/product/coffret-electrique-etanche-ip65-abs-haute-resistance-plusieurs-dimensions-disponibles" TargetMode="External"/><Relationship Id="rId50" Type="http://schemas.openxmlformats.org/officeDocument/2006/relationships/hyperlink" Target="https://electrodelivery.ma/fr/cables/813-cable-075.html" TargetMode="External"/><Relationship Id="rId51" Type="http://schemas.openxmlformats.org/officeDocument/2006/relationships/hyperlink" Target="https://electrodelivery.ma/fr/cables/812-cable-souple-215-.html" TargetMode="External"/><Relationship Id="rId52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30" hidden="false" customHeight="tru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6" t="s">
        <v>13</v>
      </c>
    </row>
    <row r="19" customFormat="false" ht="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6" t="s">
        <v>16</v>
      </c>
    </row>
    <row r="22" customFormat="false" ht="15" hidden="false" customHeight="false" outlineLevel="0" collapsed="false">
      <c r="A22" s="5" t="s">
        <v>17</v>
      </c>
    </row>
    <row r="23" customFormat="false" ht="15" hidden="false" customHeight="false" outlineLevel="0" collapsed="false">
      <c r="A23" s="5" t="s">
        <v>18</v>
      </c>
    </row>
    <row r="24" customFormat="false" ht="15" hidden="false" customHeight="false" outlineLevel="0" collapsed="false">
      <c r="A24" s="5" t="s">
        <v>19</v>
      </c>
    </row>
    <row r="25" customFormat="false" ht="15" hidden="false" customHeight="false" outlineLevel="0" collapsed="false">
      <c r="A25" s="5" t="s">
        <v>20</v>
      </c>
    </row>
    <row r="26" customFormat="false" ht="15" hidden="false" customHeight="false" outlineLevel="0" collapsed="false">
      <c r="A26" s="6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4" t="s">
        <v>22</v>
      </c>
    </row>
    <row r="29" customFormat="false" ht="30" hidden="false" customHeight="true" outlineLevel="0" collapsed="false">
      <c r="A29" s="5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4" t="s">
        <v>24</v>
      </c>
    </row>
    <row r="32" customFormat="false" ht="30" hidden="false" customHeight="true" outlineLevel="0" collapsed="false">
      <c r="A32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1"/>
    <col collapsed="false" customWidth="true" hidden="false" outlineLevel="0" max="11" min="9" style="0" width="9"/>
    <col collapsed="false" customWidth="true" hidden="false" outlineLevel="0" max="13" min="12" style="0" width="7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1"/>
    <col collapsed="false" customWidth="true" hidden="false" outlineLevel="0" max="18" min="18" style="0" width="52"/>
    <col collapsed="false" customWidth="true" hidden="false" outlineLevel="0" max="19" min="19" style="0" width="6"/>
  </cols>
  <sheetData>
    <row r="1" customFormat="false" ht="17.35" hidden="false" customHeight="false" outlineLevel="0" collapsed="false">
      <c r="A1" s="7" t="s">
        <v>26</v>
      </c>
    </row>
    <row r="2" customFormat="false" ht="15" hidden="false" customHeight="false" outlineLevel="0" collapsed="false">
      <c r="A2" s="8" t="s">
        <v>27</v>
      </c>
    </row>
    <row r="4" customFormat="false" ht="15" hidden="false" customHeight="false" outlineLevel="0" collapsed="false">
      <c r="C4" s="9" t="s">
        <v>28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 t="n">
        <f aca="false">SUMIFS(O15:O87,D15:D87,"À acheter")+SUM(O91:O93)</f>
        <v>5459.5</v>
      </c>
    </row>
    <row r="5" customFormat="false" ht="15" hidden="false" customHeight="false" outlineLevel="0" collapsed="false">
      <c r="C5" s="9" t="s">
        <v>29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 t="n">
        <f aca="false">SUM(O91:O93)</f>
        <v>674</v>
      </c>
    </row>
    <row r="6" customFormat="false" ht="15" hidden="false" customHeight="false" outlineLevel="0" collapsed="false">
      <c r="C6" s="9" t="s">
        <v>30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n">
        <f aca="false">SUMIFS(O15:O87,D15:D87,"Option")</f>
        <v>373</v>
      </c>
    </row>
    <row r="7" customFormat="false" ht="15" hidden="false" customHeight="false" outlineLevel="0" collapsed="false">
      <c r="C7" s="9" t="s">
        <v>31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 t="n">
        <f aca="false">SUMIFS(O15:O87,D15:D87,"Déjà possédé")</f>
        <v>983</v>
      </c>
    </row>
    <row r="8" customFormat="false" ht="15" hidden="false" customHeight="false" outlineLevel="0" collapsed="false">
      <c r="C8" s="9" t="s">
        <v>32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2" t="n">
        <f aca="false">SUMPRODUCT((D15:D87="À acheter")*(K15:K87&gt;0)*(N15:N87=""))</f>
        <v>5</v>
      </c>
    </row>
    <row r="10" customFormat="false" ht="15" hidden="false" customHeight="false" outlineLevel="0" collapsed="false">
      <c r="C10" s="13" t="s">
        <v>33</v>
      </c>
      <c r="E10" s="13" t="s">
        <v>34</v>
      </c>
      <c r="F10" s="13" t="s">
        <v>35</v>
      </c>
      <c r="G10" s="13" t="s">
        <v>36</v>
      </c>
      <c r="H10" s="13" t="s">
        <v>37</v>
      </c>
    </row>
    <row r="11" customFormat="false" ht="15" hidden="false" customHeight="false" outlineLevel="0" collapsed="false">
      <c r="C11" s="14" t="s">
        <v>38</v>
      </c>
      <c r="E11" s="15" t="n">
        <f aca="false">msp1!J11</f>
        <v>1072.1</v>
      </c>
      <c r="F11" s="15" t="n">
        <f aca="false">n3pp!J11</f>
        <v>929.8</v>
      </c>
      <c r="G11" s="15" t="n">
        <f aca="false">'ffp5cs 230V'!J11</f>
        <v>1199.6</v>
      </c>
      <c r="H11" s="15" t="n">
        <f aca="false">'ffp5cs 12V'!J11</f>
        <v>1189.4</v>
      </c>
    </row>
    <row r="12" customFormat="false" ht="15" hidden="false" customHeight="false" outlineLevel="0" collapsed="false">
      <c r="C12" s="14" t="s">
        <v>39</v>
      </c>
      <c r="E12" s="15" t="n">
        <f aca="false">msp1!J12</f>
        <v>170</v>
      </c>
      <c r="F12" s="15" t="n">
        <f aca="false">n3pp!J12</f>
        <v>85</v>
      </c>
      <c r="G12" s="15" t="n">
        <f aca="false">'ffp5cs 230V'!J12</f>
        <v>18</v>
      </c>
      <c r="H12" s="15" t="n">
        <f aca="false">'ffp5cs 12V'!J12</f>
        <v>100</v>
      </c>
    </row>
    <row r="14" customFormat="false" ht="30" hidden="false" customHeight="true" outlineLevel="0" collapsed="false">
      <c r="A14" s="16" t="s">
        <v>40</v>
      </c>
      <c r="B14" s="16" t="s">
        <v>41</v>
      </c>
      <c r="C14" s="16" t="s">
        <v>42</v>
      </c>
      <c r="D14" s="16" t="s">
        <v>43</v>
      </c>
      <c r="E14" s="16" t="s">
        <v>34</v>
      </c>
      <c r="F14" s="16" t="s">
        <v>35</v>
      </c>
      <c r="G14" s="16" t="s">
        <v>36</v>
      </c>
      <c r="H14" s="16" t="s">
        <v>37</v>
      </c>
      <c r="I14" s="16" t="s">
        <v>44</v>
      </c>
      <c r="J14" s="16" t="s">
        <v>45</v>
      </c>
      <c r="K14" s="16" t="s">
        <v>46</v>
      </c>
      <c r="L14" s="16" t="s">
        <v>47</v>
      </c>
      <c r="M14" s="16" t="s">
        <v>48</v>
      </c>
      <c r="N14" s="16" t="s">
        <v>49</v>
      </c>
      <c r="O14" s="16" t="s">
        <v>50</v>
      </c>
      <c r="P14" s="16" t="s">
        <v>51</v>
      </c>
      <c r="Q14" s="16" t="s">
        <v>52</v>
      </c>
      <c r="R14" s="16" t="s">
        <v>53</v>
      </c>
      <c r="S14" s="16" t="s">
        <v>54</v>
      </c>
    </row>
    <row r="15" customFormat="false" ht="23.85" hidden="false" customHeight="false" outlineLevel="0" collapsed="false">
      <c r="A15" s="17" t="s">
        <v>55</v>
      </c>
      <c r="B15" s="18" t="s">
        <v>56</v>
      </c>
      <c r="C15" s="19" t="s">
        <v>57</v>
      </c>
      <c r="D15" s="18" t="s">
        <v>58</v>
      </c>
      <c r="E15" s="20" t="n">
        <f aca="false">SUMIFS(msp1!$F:$F,msp1!$A:$A,$A15,msp1!$G:$G,$D15)</f>
        <v>1</v>
      </c>
      <c r="F15" s="20" t="n">
        <f aca="false">SUMIFS(n3pp!$F:$F,n3pp!$A:$A,$A15,n3pp!$G:$G,$D15)</f>
        <v>1</v>
      </c>
      <c r="G15" s="20" t="n">
        <f aca="false">SUMIFS('ffp5cs 230V'!$F:$F,'ffp5cs 230V'!$A:$A,$A15,'ffp5cs 230V'!$G:$G,$D15)</f>
        <v>1</v>
      </c>
      <c r="H15" s="20" t="n">
        <f aca="false">SUMIFS('ffp5cs 12V'!$F:$F,'ffp5cs 12V'!$A:$A,$A15,'ffp5cs 12V'!$G:$G,$D15)</f>
        <v>1</v>
      </c>
      <c r="I15" s="21" t="n">
        <f aca="false">SUM(E15:H15)</f>
        <v>4</v>
      </c>
      <c r="J15" s="22" t="n">
        <v>0</v>
      </c>
      <c r="K15" s="18" t="n">
        <f aca="false">IF(I15=0,0,I15+J15)</f>
        <v>4</v>
      </c>
      <c r="L15" s="18" t="n">
        <f aca="false">INDEX(Prix!$E$5:$E$79,MATCH($A15,Prix!$A$5:$A$79,0))</f>
        <v>1</v>
      </c>
      <c r="M15" s="18" t="n">
        <f aca="false">IF(K15=0,0,ROUNDUP(K15/L15,0))</f>
        <v>4</v>
      </c>
      <c r="N15" s="23" t="str">
        <f aca="false">IF(INDEX(Prix!$D$5:$D$79,MATCH($A15,Prix!$A$5:$A$79,0))="","",INDEX(Prix!$D$5:$D$79,MATCH($A15,Prix!$A$5:$A$79,0)))</f>
        <v/>
      </c>
      <c r="O15" s="23" t="str">
        <f aca="false">IF(N15="","",M15*N15)</f>
        <v/>
      </c>
      <c r="P15" s="18" t="str">
        <f aca="false">INDEX(Prix!$C$5:$C$79,MATCH($A15,Prix!$A$5:$A$79,0))</f>
        <v>JLCPCB</v>
      </c>
      <c r="Q15" s="18" t="str">
        <f aca="false">INDEX(Prix!$H$5:$H$79,MATCH($A15,Prix!$A$5:$A$79,0))</f>
        <v>Import</v>
      </c>
      <c r="R15" s="19" t="s">
        <v>59</v>
      </c>
      <c r="S15" s="24" t="s">
        <v>60</v>
      </c>
    </row>
    <row r="16" customFormat="false" ht="23.85" hidden="false" customHeight="false" outlineLevel="0" collapsed="false">
      <c r="A16" s="17" t="s">
        <v>61</v>
      </c>
      <c r="B16" s="18" t="s">
        <v>56</v>
      </c>
      <c r="C16" s="19" t="s">
        <v>62</v>
      </c>
      <c r="D16" s="18" t="s">
        <v>58</v>
      </c>
      <c r="E16" s="20" t="n">
        <f aca="false">SUMIFS(msp1!$F:$F,msp1!$A:$A,$A16,msp1!$G:$G,$D16)</f>
        <v>1</v>
      </c>
      <c r="F16" s="20" t="n">
        <f aca="false">SUMIFS(n3pp!$F:$F,n3pp!$A:$A,$A16,n3pp!$G:$G,$D16)</f>
        <v>1</v>
      </c>
      <c r="G16" s="20" t="n">
        <f aca="false">SUMIFS('ffp5cs 230V'!$F:$F,'ffp5cs 230V'!$A:$A,$A16,'ffp5cs 230V'!$G:$G,$D16)</f>
        <v>1</v>
      </c>
      <c r="H16" s="20" t="n">
        <f aca="false">SUMIFS('ffp5cs 12V'!$F:$F,'ffp5cs 12V'!$A:$A,$A16,'ffp5cs 12V'!$G:$G,$D16)</f>
        <v>1</v>
      </c>
      <c r="I16" s="21" t="n">
        <f aca="false">SUM(E16:H16)</f>
        <v>4</v>
      </c>
      <c r="J16" s="22" t="n">
        <v>1</v>
      </c>
      <c r="K16" s="18" t="n">
        <f aca="false">IF(I16=0,0,I16+J16)</f>
        <v>5</v>
      </c>
      <c r="L16" s="18" t="n">
        <f aca="false">INDEX(Prix!$E$5:$E$79,MATCH($A16,Prix!$A$5:$A$79,0))</f>
        <v>1</v>
      </c>
      <c r="M16" s="18" t="n">
        <f aca="false">IF(K16=0,0,ROUNDUP(K16/L16,0))</f>
        <v>5</v>
      </c>
      <c r="N16" s="23" t="n">
        <f aca="false">IF(INDEX(Prix!$D$5:$D$79,MATCH($A16,Prix!$A$5:$A$79,0))="","",INDEX(Prix!$D$5:$D$79,MATCH($A16,Prix!$A$5:$A$79,0)))</f>
        <v>113</v>
      </c>
      <c r="O16" s="23" t="n">
        <f aca="false">IF(N16="","",M16*N16)</f>
        <v>565</v>
      </c>
      <c r="P16" s="18" t="str">
        <f aca="false">INDEX(Prix!$C$5:$C$79,MATCH($A16,Prix!$A$5:$A$79,0))</f>
        <v>Shop4Makers</v>
      </c>
      <c r="Q16" s="18" t="str">
        <f aca="false">INDEX(Prix!$H$5:$H$79,MATCH($A16,Prix!$A$5:$A$79,0))</f>
        <v>Maroc</v>
      </c>
      <c r="R16" s="19" t="s">
        <v>63</v>
      </c>
      <c r="S16" s="24" t="s">
        <v>60</v>
      </c>
    </row>
    <row r="17" customFormat="false" ht="15" hidden="false" customHeight="false" outlineLevel="0" collapsed="false">
      <c r="A17" s="25" t="s">
        <v>64</v>
      </c>
      <c r="B17" s="26" t="s">
        <v>65</v>
      </c>
      <c r="C17" s="27" t="s">
        <v>66</v>
      </c>
      <c r="D17" s="26" t="s">
        <v>58</v>
      </c>
      <c r="E17" s="28" t="n">
        <f aca="false">SUMIFS(msp1!$F:$F,msp1!$A:$A,$A17,msp1!$G:$G,$D17)</f>
        <v>2</v>
      </c>
      <c r="F17" s="28" t="n">
        <f aca="false">SUMIFS(n3pp!$F:$F,n3pp!$A:$A,$A17,n3pp!$G:$G,$D17)</f>
        <v>0</v>
      </c>
      <c r="G17" s="28" t="n">
        <f aca="false">SUMIFS('ffp5cs 230V'!$F:$F,'ffp5cs 230V'!$A:$A,$A17,'ffp5cs 230V'!$G:$G,$D17)</f>
        <v>2</v>
      </c>
      <c r="H17" s="28" t="n">
        <f aca="false">SUMIFS('ffp5cs 12V'!$F:$F,'ffp5cs 12V'!$A:$A,$A17,'ffp5cs 12V'!$G:$G,$D17)</f>
        <v>2</v>
      </c>
      <c r="I17" s="29" t="n">
        <f aca="false">SUM(E17:H17)</f>
        <v>6</v>
      </c>
      <c r="J17" s="30" t="n">
        <v>2</v>
      </c>
      <c r="K17" s="26" t="n">
        <f aca="false">IF(I17=0,0,I17+J17)</f>
        <v>8</v>
      </c>
      <c r="L17" s="26" t="n">
        <f aca="false">INDEX(Prix!$E$5:$E$79,MATCH($A17,Prix!$A$5:$A$79,0))</f>
        <v>5</v>
      </c>
      <c r="M17" s="26" t="n">
        <f aca="false">IF(K17=0,0,ROUNDUP(K17/L17,0))</f>
        <v>2</v>
      </c>
      <c r="N17" s="31" t="n">
        <f aca="false">IF(INDEX(Prix!$D$5:$D$79,MATCH($A17,Prix!$A$5:$A$79,0))="","",INDEX(Prix!$D$5:$D$79,MATCH($A17,Prix!$A$5:$A$79,0)))</f>
        <v>1.5</v>
      </c>
      <c r="O17" s="31" t="n">
        <f aca="false">IF(N17="","",M17*N17)</f>
        <v>3</v>
      </c>
      <c r="P17" s="26" t="str">
        <f aca="false">INDEX(Prix!$C$5:$C$79,MATCH($A17,Prix!$A$5:$A$79,0))</f>
        <v>MicroPlanet</v>
      </c>
      <c r="Q17" s="26" t="str">
        <f aca="false">INDEX(Prix!$H$5:$H$79,MATCH($A17,Prix!$A$5:$A$79,0))</f>
        <v>Maroc</v>
      </c>
      <c r="R17" s="27" t="s">
        <v>67</v>
      </c>
      <c r="S17" s="32" t="s">
        <v>60</v>
      </c>
    </row>
    <row r="18" customFormat="false" ht="15" hidden="false" customHeight="false" outlineLevel="0" collapsed="false">
      <c r="A18" s="25" t="s">
        <v>68</v>
      </c>
      <c r="B18" s="26" t="s">
        <v>65</v>
      </c>
      <c r="C18" s="27" t="s">
        <v>69</v>
      </c>
      <c r="D18" s="26" t="s">
        <v>58</v>
      </c>
      <c r="E18" s="28" t="n">
        <f aca="false">SUMIFS(msp1!$F:$F,msp1!$A:$A,$A18,msp1!$G:$G,$D18)</f>
        <v>7</v>
      </c>
      <c r="F18" s="28" t="n">
        <f aca="false">SUMIFS(n3pp!$F:$F,n3pp!$A:$A,$A18,n3pp!$G:$G,$D18)</f>
        <v>10</v>
      </c>
      <c r="G18" s="28" t="n">
        <f aca="false">SUMIFS('ffp5cs 230V'!$F:$F,'ffp5cs 230V'!$A:$A,$A18,'ffp5cs 230V'!$G:$G,$D18)</f>
        <v>23</v>
      </c>
      <c r="H18" s="28" t="n">
        <f aca="false">SUMIFS('ffp5cs 12V'!$F:$F,'ffp5cs 12V'!$A:$A,$A18,'ffp5cs 12V'!$G:$G,$D18)</f>
        <v>24</v>
      </c>
      <c r="I18" s="29" t="n">
        <f aca="false">SUM(E18:H18)</f>
        <v>64</v>
      </c>
      <c r="J18" s="30" t="n">
        <v>5</v>
      </c>
      <c r="K18" s="26" t="n">
        <f aca="false">IF(I18=0,0,I18+J18)</f>
        <v>69</v>
      </c>
      <c r="L18" s="26" t="n">
        <f aca="false">INDEX(Prix!$E$5:$E$79,MATCH($A18,Prix!$A$5:$A$79,0))</f>
        <v>5</v>
      </c>
      <c r="M18" s="26" t="n">
        <f aca="false">IF(K18=0,0,ROUNDUP(K18/L18,0))</f>
        <v>14</v>
      </c>
      <c r="N18" s="31" t="n">
        <f aca="false">IF(INDEX(Prix!$D$5:$D$79,MATCH($A18,Prix!$A$5:$A$79,0))="","",INDEX(Prix!$D$5:$D$79,MATCH($A18,Prix!$A$5:$A$79,0)))</f>
        <v>1.5</v>
      </c>
      <c r="O18" s="31" t="n">
        <f aca="false">IF(N18="","",M18*N18)</f>
        <v>21</v>
      </c>
      <c r="P18" s="26" t="str">
        <f aca="false">INDEX(Prix!$C$5:$C$79,MATCH($A18,Prix!$A$5:$A$79,0))</f>
        <v>MicroPlanet</v>
      </c>
      <c r="Q18" s="26" t="str">
        <f aca="false">INDEX(Prix!$H$5:$H$79,MATCH($A18,Prix!$A$5:$A$79,0))</f>
        <v>Maroc</v>
      </c>
      <c r="R18" s="27" t="s">
        <v>67</v>
      </c>
      <c r="S18" s="32" t="s">
        <v>60</v>
      </c>
    </row>
    <row r="19" customFormat="false" ht="15" hidden="false" customHeight="false" outlineLevel="0" collapsed="false">
      <c r="A19" s="25" t="s">
        <v>70</v>
      </c>
      <c r="B19" s="26" t="s">
        <v>65</v>
      </c>
      <c r="C19" s="27" t="s">
        <v>71</v>
      </c>
      <c r="D19" s="26" t="s">
        <v>58</v>
      </c>
      <c r="E19" s="28" t="n">
        <f aca="false">SUMIFS(msp1!$F:$F,msp1!$A:$A,$A19,msp1!$G:$G,$D19)</f>
        <v>0</v>
      </c>
      <c r="F19" s="28" t="n">
        <f aca="false">SUMIFS(n3pp!$F:$F,n3pp!$A:$A,$A19,n3pp!$G:$G,$D19)</f>
        <v>0</v>
      </c>
      <c r="G19" s="28" t="n">
        <f aca="false">SUMIFS('ffp5cs 230V'!$F:$F,'ffp5cs 230V'!$A:$A,$A19,'ffp5cs 230V'!$G:$G,$D19)</f>
        <v>3</v>
      </c>
      <c r="H19" s="28" t="n">
        <f aca="false">SUMIFS('ffp5cs 12V'!$F:$F,'ffp5cs 12V'!$A:$A,$A19,'ffp5cs 12V'!$G:$G,$D19)</f>
        <v>3</v>
      </c>
      <c r="I19" s="29" t="n">
        <f aca="false">SUM(E19:H19)</f>
        <v>6</v>
      </c>
      <c r="J19" s="30" t="n">
        <v>2</v>
      </c>
      <c r="K19" s="26" t="n">
        <f aca="false">IF(I19=0,0,I19+J19)</f>
        <v>8</v>
      </c>
      <c r="L19" s="26" t="n">
        <f aca="false">INDEX(Prix!$E$5:$E$79,MATCH($A19,Prix!$A$5:$A$79,0))</f>
        <v>5</v>
      </c>
      <c r="M19" s="26" t="n">
        <f aca="false">IF(K19=0,0,ROUNDUP(K19/L19,0))</f>
        <v>2</v>
      </c>
      <c r="N19" s="31" t="n">
        <f aca="false">IF(INDEX(Prix!$D$5:$D$79,MATCH($A19,Prix!$A$5:$A$79,0))="","",INDEX(Prix!$D$5:$D$79,MATCH($A19,Prix!$A$5:$A$79,0)))</f>
        <v>1.5</v>
      </c>
      <c r="O19" s="31" t="n">
        <f aca="false">IF(N19="","",M19*N19)</f>
        <v>3</v>
      </c>
      <c r="P19" s="26" t="str">
        <f aca="false">INDEX(Prix!$C$5:$C$79,MATCH($A19,Prix!$A$5:$A$79,0))</f>
        <v>MicroPlanet</v>
      </c>
      <c r="Q19" s="26" t="str">
        <f aca="false">INDEX(Prix!$H$5:$H$79,MATCH($A19,Prix!$A$5:$A$79,0))</f>
        <v>Maroc</v>
      </c>
      <c r="R19" s="27" t="s">
        <v>67</v>
      </c>
      <c r="S19" s="32" t="s">
        <v>60</v>
      </c>
    </row>
    <row r="20" customFormat="false" ht="15" hidden="false" customHeight="false" outlineLevel="0" collapsed="false">
      <c r="A20" s="25" t="s">
        <v>72</v>
      </c>
      <c r="B20" s="26" t="s">
        <v>65</v>
      </c>
      <c r="C20" s="27" t="s">
        <v>73</v>
      </c>
      <c r="D20" s="26" t="s">
        <v>58</v>
      </c>
      <c r="E20" s="28" t="n">
        <f aca="false">SUMIFS(msp1!$F:$F,msp1!$A:$A,$A20,msp1!$G:$G,$D20)</f>
        <v>3</v>
      </c>
      <c r="F20" s="28" t="n">
        <f aca="false">SUMIFS(n3pp!$F:$F,n3pp!$A:$A,$A20,n3pp!$G:$G,$D20)</f>
        <v>2</v>
      </c>
      <c r="G20" s="28" t="n">
        <f aca="false">SUMIFS('ffp5cs 230V'!$F:$F,'ffp5cs 230V'!$A:$A,$A20,'ffp5cs 230V'!$G:$G,$D20)</f>
        <v>3</v>
      </c>
      <c r="H20" s="28" t="n">
        <f aca="false">SUMIFS('ffp5cs 12V'!$F:$F,'ffp5cs 12V'!$A:$A,$A20,'ffp5cs 12V'!$G:$G,$D20)</f>
        <v>3</v>
      </c>
      <c r="I20" s="29" t="n">
        <f aca="false">SUM(E20:H20)</f>
        <v>11</v>
      </c>
      <c r="J20" s="30" t="n">
        <v>2</v>
      </c>
      <c r="K20" s="26" t="n">
        <f aca="false">IF(I20=0,0,I20+J20)</f>
        <v>13</v>
      </c>
      <c r="L20" s="26" t="n">
        <f aca="false">INDEX(Prix!$E$5:$E$79,MATCH($A20,Prix!$A$5:$A$79,0))</f>
        <v>5</v>
      </c>
      <c r="M20" s="26" t="n">
        <f aca="false">IF(K20=0,0,ROUNDUP(K20/L20,0))</f>
        <v>3</v>
      </c>
      <c r="N20" s="31" t="n">
        <f aca="false">IF(INDEX(Prix!$D$5:$D$79,MATCH($A20,Prix!$A$5:$A$79,0))="","",INDEX(Prix!$D$5:$D$79,MATCH($A20,Prix!$A$5:$A$79,0)))</f>
        <v>1.5</v>
      </c>
      <c r="O20" s="31" t="n">
        <f aca="false">IF(N20="","",M20*N20)</f>
        <v>4.5</v>
      </c>
      <c r="P20" s="26" t="str">
        <f aca="false">INDEX(Prix!$C$5:$C$79,MATCH($A20,Prix!$A$5:$A$79,0))</f>
        <v>MicroPlanet</v>
      </c>
      <c r="Q20" s="26" t="str">
        <f aca="false">INDEX(Prix!$H$5:$H$79,MATCH($A20,Prix!$A$5:$A$79,0))</f>
        <v>Maroc</v>
      </c>
      <c r="R20" s="27" t="s">
        <v>67</v>
      </c>
      <c r="S20" s="32" t="s">
        <v>60</v>
      </c>
    </row>
    <row r="21" customFormat="false" ht="15" hidden="false" customHeight="false" outlineLevel="0" collapsed="false">
      <c r="A21" s="25" t="s">
        <v>74</v>
      </c>
      <c r="B21" s="26" t="s">
        <v>65</v>
      </c>
      <c r="C21" s="27" t="s">
        <v>75</v>
      </c>
      <c r="D21" s="26" t="s">
        <v>58</v>
      </c>
      <c r="E21" s="28" t="n">
        <f aca="false">SUMIFS(msp1!$F:$F,msp1!$A:$A,$A21,msp1!$G:$G,$D21)</f>
        <v>7</v>
      </c>
      <c r="F21" s="28" t="n">
        <f aca="false">SUMIFS(n3pp!$F:$F,n3pp!$A:$A,$A21,n3pp!$G:$G,$D21)</f>
        <v>4</v>
      </c>
      <c r="G21" s="28" t="n">
        <f aca="false">SUMIFS('ffp5cs 230V'!$F:$F,'ffp5cs 230V'!$A:$A,$A21,'ffp5cs 230V'!$G:$G,$D21)</f>
        <v>9</v>
      </c>
      <c r="H21" s="28" t="n">
        <f aca="false">SUMIFS('ffp5cs 12V'!$F:$F,'ffp5cs 12V'!$A:$A,$A21,'ffp5cs 12V'!$G:$G,$D21)</f>
        <v>9</v>
      </c>
      <c r="I21" s="29" t="n">
        <f aca="false">SUM(E21:H21)</f>
        <v>29</v>
      </c>
      <c r="J21" s="30" t="n">
        <v>5</v>
      </c>
      <c r="K21" s="26" t="n">
        <f aca="false">IF(I21=0,0,I21+J21)</f>
        <v>34</v>
      </c>
      <c r="L21" s="26" t="n">
        <f aca="false">INDEX(Prix!$E$5:$E$79,MATCH($A21,Prix!$A$5:$A$79,0))</f>
        <v>5</v>
      </c>
      <c r="M21" s="26" t="n">
        <f aca="false">IF(K21=0,0,ROUNDUP(K21/L21,0))</f>
        <v>7</v>
      </c>
      <c r="N21" s="31" t="n">
        <f aca="false">IF(INDEX(Prix!$D$5:$D$79,MATCH($A21,Prix!$A$5:$A$79,0))="","",INDEX(Prix!$D$5:$D$79,MATCH($A21,Prix!$A$5:$A$79,0)))</f>
        <v>1.5</v>
      </c>
      <c r="O21" s="31" t="n">
        <f aca="false">IF(N21="","",M21*N21)</f>
        <v>10.5</v>
      </c>
      <c r="P21" s="26" t="str">
        <f aca="false">INDEX(Prix!$C$5:$C$79,MATCH($A21,Prix!$A$5:$A$79,0))</f>
        <v>MicroPlanet</v>
      </c>
      <c r="Q21" s="26" t="str">
        <f aca="false">INDEX(Prix!$H$5:$H$79,MATCH($A21,Prix!$A$5:$A$79,0))</f>
        <v>Maroc</v>
      </c>
      <c r="R21" s="27" t="s">
        <v>67</v>
      </c>
      <c r="S21" s="32" t="s">
        <v>60</v>
      </c>
    </row>
    <row r="22" customFormat="false" ht="15" hidden="false" customHeight="false" outlineLevel="0" collapsed="false">
      <c r="A22" s="25" t="s">
        <v>76</v>
      </c>
      <c r="B22" s="26" t="s">
        <v>65</v>
      </c>
      <c r="C22" s="27" t="s">
        <v>77</v>
      </c>
      <c r="D22" s="26" t="s">
        <v>58</v>
      </c>
      <c r="E22" s="28" t="n">
        <f aca="false">SUMIFS(msp1!$F:$F,msp1!$A:$A,$A22,msp1!$G:$G,$D22)</f>
        <v>1</v>
      </c>
      <c r="F22" s="28" t="n">
        <f aca="false">SUMIFS(n3pp!$F:$F,n3pp!$A:$A,$A22,n3pp!$G:$G,$D22)</f>
        <v>1</v>
      </c>
      <c r="G22" s="28" t="n">
        <f aca="false">SUMIFS('ffp5cs 230V'!$F:$F,'ffp5cs 230V'!$A:$A,$A22,'ffp5cs 230V'!$G:$G,$D22)</f>
        <v>0</v>
      </c>
      <c r="H22" s="28" t="n">
        <f aca="false">SUMIFS('ffp5cs 12V'!$F:$F,'ffp5cs 12V'!$A:$A,$A22,'ffp5cs 12V'!$G:$G,$D22)</f>
        <v>1</v>
      </c>
      <c r="I22" s="29" t="n">
        <f aca="false">SUM(E22:H22)</f>
        <v>3</v>
      </c>
      <c r="J22" s="30" t="n">
        <v>2</v>
      </c>
      <c r="K22" s="26" t="n">
        <f aca="false">IF(I22=0,0,I22+J22)</f>
        <v>5</v>
      </c>
      <c r="L22" s="26" t="n">
        <f aca="false">INDEX(Prix!$E$5:$E$79,MATCH($A22,Prix!$A$5:$A$79,0))</f>
        <v>5</v>
      </c>
      <c r="M22" s="26" t="n">
        <f aca="false">IF(K22=0,0,ROUNDUP(K22/L22,0))</f>
        <v>1</v>
      </c>
      <c r="N22" s="31" t="n">
        <f aca="false">IF(INDEX(Prix!$D$5:$D$79,MATCH($A22,Prix!$A$5:$A$79,0))="","",INDEX(Prix!$D$5:$D$79,MATCH($A22,Prix!$A$5:$A$79,0)))</f>
        <v>1.5</v>
      </c>
      <c r="O22" s="31" t="n">
        <f aca="false">IF(N22="","",M22*N22)</f>
        <v>1.5</v>
      </c>
      <c r="P22" s="26" t="str">
        <f aca="false">INDEX(Prix!$C$5:$C$79,MATCH($A22,Prix!$A$5:$A$79,0))</f>
        <v>MicroPlanet</v>
      </c>
      <c r="Q22" s="26" t="str">
        <f aca="false">INDEX(Prix!$H$5:$H$79,MATCH($A22,Prix!$A$5:$A$79,0))</f>
        <v>Maroc</v>
      </c>
      <c r="R22" s="27" t="s">
        <v>67</v>
      </c>
      <c r="S22" s="32" t="s">
        <v>60</v>
      </c>
    </row>
    <row r="23" customFormat="false" ht="15" hidden="false" customHeight="false" outlineLevel="0" collapsed="false">
      <c r="A23" s="25" t="s">
        <v>78</v>
      </c>
      <c r="B23" s="26" t="s">
        <v>65</v>
      </c>
      <c r="C23" s="27" t="s">
        <v>79</v>
      </c>
      <c r="D23" s="26" t="s">
        <v>58</v>
      </c>
      <c r="E23" s="28" t="n">
        <f aca="false">SUMIFS(msp1!$F:$F,msp1!$A:$A,$A23,msp1!$G:$G,$D23)</f>
        <v>4</v>
      </c>
      <c r="F23" s="28" t="n">
        <f aca="false">SUMIFS(n3pp!$F:$F,n3pp!$A:$A,$A23,n3pp!$G:$G,$D23)</f>
        <v>4</v>
      </c>
      <c r="G23" s="28" t="n">
        <f aca="false">SUMIFS('ffp5cs 230V'!$F:$F,'ffp5cs 230V'!$A:$A,$A23,'ffp5cs 230V'!$G:$G,$D23)</f>
        <v>2</v>
      </c>
      <c r="H23" s="28" t="n">
        <f aca="false">SUMIFS('ffp5cs 12V'!$F:$F,'ffp5cs 12V'!$A:$A,$A23,'ffp5cs 12V'!$G:$G,$D23)</f>
        <v>5</v>
      </c>
      <c r="I23" s="29" t="n">
        <f aca="false">SUM(E23:H23)</f>
        <v>15</v>
      </c>
      <c r="J23" s="30" t="n">
        <v>3</v>
      </c>
      <c r="K23" s="26" t="n">
        <f aca="false">IF(I23=0,0,I23+J23)</f>
        <v>18</v>
      </c>
      <c r="L23" s="26" t="n">
        <f aca="false">INDEX(Prix!$E$5:$E$79,MATCH($A23,Prix!$A$5:$A$79,0))</f>
        <v>5</v>
      </c>
      <c r="M23" s="26" t="n">
        <f aca="false">IF(K23=0,0,ROUNDUP(K23/L23,0))</f>
        <v>4</v>
      </c>
      <c r="N23" s="31" t="n">
        <f aca="false">IF(INDEX(Prix!$D$5:$D$79,MATCH($A23,Prix!$A$5:$A$79,0))="","",INDEX(Prix!$D$5:$D$79,MATCH($A23,Prix!$A$5:$A$79,0)))</f>
        <v>1.5</v>
      </c>
      <c r="O23" s="31" t="n">
        <f aca="false">IF(N23="","",M23*N23)</f>
        <v>6</v>
      </c>
      <c r="P23" s="26" t="str">
        <f aca="false">INDEX(Prix!$C$5:$C$79,MATCH($A23,Prix!$A$5:$A$79,0))</f>
        <v>MicroPlanet</v>
      </c>
      <c r="Q23" s="26" t="str">
        <f aca="false">INDEX(Prix!$H$5:$H$79,MATCH($A23,Prix!$A$5:$A$79,0))</f>
        <v>Maroc</v>
      </c>
      <c r="R23" s="27" t="s">
        <v>67</v>
      </c>
      <c r="S23" s="32" t="s">
        <v>60</v>
      </c>
    </row>
    <row r="24" customFormat="false" ht="15" hidden="false" customHeight="false" outlineLevel="0" collapsed="false">
      <c r="A24" s="17" t="s">
        <v>80</v>
      </c>
      <c r="B24" s="18" t="s">
        <v>81</v>
      </c>
      <c r="C24" s="19" t="s">
        <v>82</v>
      </c>
      <c r="D24" s="18" t="s">
        <v>58</v>
      </c>
      <c r="E24" s="20" t="n">
        <f aca="false">SUMIFS(msp1!$F:$F,msp1!$A:$A,$A24,msp1!$G:$G,$D24)</f>
        <v>8</v>
      </c>
      <c r="F24" s="20" t="n">
        <f aca="false">SUMIFS(n3pp!$F:$F,n3pp!$A:$A,$A24,n3pp!$G:$G,$D24)</f>
        <v>8</v>
      </c>
      <c r="G24" s="20" t="n">
        <f aca="false">SUMIFS('ffp5cs 230V'!$F:$F,'ffp5cs 230V'!$A:$A,$A24,'ffp5cs 230V'!$G:$G,$D24)</f>
        <v>3</v>
      </c>
      <c r="H24" s="20" t="n">
        <f aca="false">SUMIFS('ffp5cs 12V'!$F:$F,'ffp5cs 12V'!$A:$A,$A24,'ffp5cs 12V'!$G:$G,$D24)</f>
        <v>4</v>
      </c>
      <c r="I24" s="21" t="n">
        <f aca="false">SUM(E24:H24)</f>
        <v>23</v>
      </c>
      <c r="J24" s="22" t="n">
        <v>5</v>
      </c>
      <c r="K24" s="18" t="n">
        <f aca="false">IF(I24=0,0,I24+J24)</f>
        <v>28</v>
      </c>
      <c r="L24" s="18" t="n">
        <f aca="false">INDEX(Prix!$E$5:$E$79,MATCH($A24,Prix!$A$5:$A$79,0))</f>
        <v>1</v>
      </c>
      <c r="M24" s="18" t="n">
        <f aca="false">IF(K24=0,0,ROUNDUP(K24/L24,0))</f>
        <v>28</v>
      </c>
      <c r="N24" s="23" t="n">
        <f aca="false">IF(INDEX(Prix!$D$5:$D$79,MATCH($A24,Prix!$A$5:$A$79,0))="","",INDEX(Prix!$D$5:$D$79,MATCH($A24,Prix!$A$5:$A$79,0)))</f>
        <v>0.5</v>
      </c>
      <c r="O24" s="23" t="n">
        <f aca="false">IF(N24="","",M24*N24)</f>
        <v>14</v>
      </c>
      <c r="P24" s="18" t="str">
        <f aca="false">INDEX(Prix!$C$5:$C$79,MATCH($A24,Prix!$A$5:$A$79,0))</f>
        <v>A2itronic</v>
      </c>
      <c r="Q24" s="18" t="str">
        <f aca="false">INDEX(Prix!$H$5:$H$79,MATCH($A24,Prix!$A$5:$A$79,0))</f>
        <v>Maroc</v>
      </c>
      <c r="R24" s="19" t="s">
        <v>83</v>
      </c>
      <c r="S24" s="24" t="s">
        <v>60</v>
      </c>
    </row>
    <row r="25" customFormat="false" ht="15" hidden="false" customHeight="false" outlineLevel="0" collapsed="false">
      <c r="A25" s="17" t="s">
        <v>84</v>
      </c>
      <c r="B25" s="18" t="s">
        <v>81</v>
      </c>
      <c r="C25" s="19" t="s">
        <v>85</v>
      </c>
      <c r="D25" s="18" t="s">
        <v>58</v>
      </c>
      <c r="E25" s="20" t="n">
        <f aca="false">SUMIFS(msp1!$F:$F,msp1!$A:$A,$A25,msp1!$G:$G,$D25)</f>
        <v>1</v>
      </c>
      <c r="F25" s="20" t="n">
        <f aca="false">SUMIFS(n3pp!$F:$F,n3pp!$A:$A,$A25,n3pp!$G:$G,$D25)</f>
        <v>1</v>
      </c>
      <c r="G25" s="20" t="n">
        <f aca="false">SUMIFS('ffp5cs 230V'!$F:$F,'ffp5cs 230V'!$A:$A,$A25,'ffp5cs 230V'!$G:$G,$D25)</f>
        <v>1</v>
      </c>
      <c r="H25" s="20" t="n">
        <f aca="false">SUMIFS('ffp5cs 12V'!$F:$F,'ffp5cs 12V'!$A:$A,$A25,'ffp5cs 12V'!$G:$G,$D25)</f>
        <v>1</v>
      </c>
      <c r="I25" s="21" t="n">
        <f aca="false">SUM(E25:H25)</f>
        <v>4</v>
      </c>
      <c r="J25" s="22" t="n">
        <v>1</v>
      </c>
      <c r="K25" s="18" t="n">
        <f aca="false">IF(I25=0,0,I25+J25)</f>
        <v>5</v>
      </c>
      <c r="L25" s="18" t="n">
        <f aca="false">INDEX(Prix!$E$5:$E$79,MATCH($A25,Prix!$A$5:$A$79,0))</f>
        <v>1</v>
      </c>
      <c r="M25" s="18" t="n">
        <f aca="false">IF(K25=0,0,ROUNDUP(K25/L25,0))</f>
        <v>5</v>
      </c>
      <c r="N25" s="23" t="n">
        <f aca="false">IF(INDEX(Prix!$D$5:$D$79,MATCH($A25,Prix!$A$5:$A$79,0))="","",INDEX(Prix!$D$5:$D$79,MATCH($A25,Prix!$A$5:$A$79,0)))</f>
        <v>1</v>
      </c>
      <c r="O25" s="23" t="n">
        <f aca="false">IF(N25="","",M25*N25)</f>
        <v>5</v>
      </c>
      <c r="P25" s="18" t="str">
        <f aca="false">INDEX(Prix!$C$5:$C$79,MATCH($A25,Prix!$A$5:$A$79,0))</f>
        <v>A2itronic</v>
      </c>
      <c r="Q25" s="18" t="str">
        <f aca="false">INDEX(Prix!$H$5:$H$79,MATCH($A25,Prix!$A$5:$A$79,0))</f>
        <v>Maroc</v>
      </c>
      <c r="R25" s="19" t="s">
        <v>86</v>
      </c>
      <c r="S25" s="24" t="s">
        <v>60</v>
      </c>
    </row>
    <row r="26" customFormat="false" ht="15" hidden="false" customHeight="false" outlineLevel="0" collapsed="false">
      <c r="A26" s="17" t="s">
        <v>87</v>
      </c>
      <c r="B26" s="18" t="s">
        <v>81</v>
      </c>
      <c r="C26" s="19" t="s">
        <v>88</v>
      </c>
      <c r="D26" s="18" t="s">
        <v>58</v>
      </c>
      <c r="E26" s="20" t="n">
        <f aca="false">SUMIFS(msp1!$F:$F,msp1!$A:$A,$A26,msp1!$G:$G,$D26)</f>
        <v>1</v>
      </c>
      <c r="F26" s="20" t="n">
        <f aca="false">SUMIFS(n3pp!$F:$F,n3pp!$A:$A,$A26,n3pp!$G:$G,$D26)</f>
        <v>1</v>
      </c>
      <c r="G26" s="20" t="n">
        <f aca="false">SUMIFS('ffp5cs 230V'!$F:$F,'ffp5cs 230V'!$A:$A,$A26,'ffp5cs 230V'!$G:$G,$D26)</f>
        <v>1</v>
      </c>
      <c r="H26" s="20" t="n">
        <f aca="false">SUMIFS('ffp5cs 12V'!$F:$F,'ffp5cs 12V'!$A:$A,$A26,'ffp5cs 12V'!$G:$G,$D26)</f>
        <v>1</v>
      </c>
      <c r="I26" s="21" t="n">
        <f aca="false">SUM(E26:H26)</f>
        <v>4</v>
      </c>
      <c r="J26" s="22" t="n">
        <v>1</v>
      </c>
      <c r="K26" s="18" t="n">
        <f aca="false">IF(I26=0,0,I26+J26)</f>
        <v>5</v>
      </c>
      <c r="L26" s="18" t="n">
        <f aca="false">INDEX(Prix!$E$5:$E$79,MATCH($A26,Prix!$A$5:$A$79,0))</f>
        <v>1</v>
      </c>
      <c r="M26" s="18" t="n">
        <f aca="false">IF(K26=0,0,ROUNDUP(K26/L26,0))</f>
        <v>5</v>
      </c>
      <c r="N26" s="23" t="n">
        <f aca="false">IF(INDEX(Prix!$D$5:$D$79,MATCH($A26,Prix!$A$5:$A$79,0))="","",INDEX(Prix!$D$5:$D$79,MATCH($A26,Prix!$A$5:$A$79,0)))</f>
        <v>1</v>
      </c>
      <c r="O26" s="23" t="n">
        <f aca="false">IF(N26="","",M26*N26)</f>
        <v>5</v>
      </c>
      <c r="P26" s="18" t="str">
        <f aca="false">INDEX(Prix!$C$5:$C$79,MATCH($A26,Prix!$A$5:$A$79,0))</f>
        <v>A2itronic</v>
      </c>
      <c r="Q26" s="18" t="str">
        <f aca="false">INDEX(Prix!$H$5:$H$79,MATCH($A26,Prix!$A$5:$A$79,0))</f>
        <v>Maroc</v>
      </c>
      <c r="R26" s="19" t="s">
        <v>89</v>
      </c>
      <c r="S26" s="24" t="s">
        <v>60</v>
      </c>
    </row>
    <row r="27" customFormat="false" ht="23.85" hidden="false" customHeight="false" outlineLevel="0" collapsed="false">
      <c r="A27" s="17" t="s">
        <v>90</v>
      </c>
      <c r="B27" s="18" t="s">
        <v>81</v>
      </c>
      <c r="C27" s="19" t="s">
        <v>91</v>
      </c>
      <c r="D27" s="18" t="s">
        <v>58</v>
      </c>
      <c r="E27" s="20" t="n">
        <f aca="false">SUMIFS(msp1!$F:$F,msp1!$A:$A,$A27,msp1!$G:$G,$D27)</f>
        <v>1</v>
      </c>
      <c r="F27" s="20" t="n">
        <f aca="false">SUMIFS(n3pp!$F:$F,n3pp!$A:$A,$A27,n3pp!$G:$G,$D27)</f>
        <v>0</v>
      </c>
      <c r="G27" s="20" t="n">
        <f aca="false">SUMIFS('ffp5cs 230V'!$F:$F,'ffp5cs 230V'!$A:$A,$A27,'ffp5cs 230V'!$G:$G,$D27)</f>
        <v>1</v>
      </c>
      <c r="H27" s="20" t="n">
        <f aca="false">SUMIFS('ffp5cs 12V'!$F:$F,'ffp5cs 12V'!$A:$A,$A27,'ffp5cs 12V'!$G:$G,$D27)</f>
        <v>1</v>
      </c>
      <c r="I27" s="21" t="n">
        <f aca="false">SUM(E27:H27)</f>
        <v>3</v>
      </c>
      <c r="J27" s="22" t="n">
        <v>1</v>
      </c>
      <c r="K27" s="18" t="n">
        <f aca="false">IF(I27=0,0,I27+J27)</f>
        <v>4</v>
      </c>
      <c r="L27" s="18" t="n">
        <f aca="false">INDEX(Prix!$E$5:$E$79,MATCH($A27,Prix!$A$5:$A$79,0))</f>
        <v>1</v>
      </c>
      <c r="M27" s="18" t="n">
        <f aca="false">IF(K27=0,0,ROUNDUP(K27/L27,0))</f>
        <v>4</v>
      </c>
      <c r="N27" s="23" t="n">
        <f aca="false">IF(INDEX(Prix!$D$5:$D$79,MATCH($A27,Prix!$A$5:$A$79,0))="","",INDEX(Prix!$D$5:$D$79,MATCH($A27,Prix!$A$5:$A$79,0)))</f>
        <v>2</v>
      </c>
      <c r="O27" s="23" t="n">
        <f aca="false">IF(N27="","",M27*N27)</f>
        <v>8</v>
      </c>
      <c r="P27" s="18" t="str">
        <f aca="false">INDEX(Prix!$C$5:$C$79,MATCH($A27,Prix!$A$5:$A$79,0))</f>
        <v>A2itronic</v>
      </c>
      <c r="Q27" s="18" t="str">
        <f aca="false">INDEX(Prix!$H$5:$H$79,MATCH($A27,Prix!$A$5:$A$79,0))</f>
        <v>Maroc</v>
      </c>
      <c r="R27" s="19" t="s">
        <v>92</v>
      </c>
      <c r="S27" s="24" t="s">
        <v>60</v>
      </c>
    </row>
    <row r="28" customFormat="false" ht="23.85" hidden="false" customHeight="false" outlineLevel="0" collapsed="false">
      <c r="A28" s="17" t="s">
        <v>93</v>
      </c>
      <c r="B28" s="18" t="s">
        <v>81</v>
      </c>
      <c r="C28" s="19" t="s">
        <v>94</v>
      </c>
      <c r="D28" s="18" t="s">
        <v>58</v>
      </c>
      <c r="E28" s="20" t="n">
        <f aca="false">SUMIFS(msp1!$F:$F,msp1!$A:$A,$A28,msp1!$G:$G,$D28)</f>
        <v>0</v>
      </c>
      <c r="F28" s="20" t="n">
        <f aca="false">SUMIFS(n3pp!$F:$F,n3pp!$A:$A,$A28,n3pp!$G:$G,$D28)</f>
        <v>0</v>
      </c>
      <c r="G28" s="20" t="n">
        <f aca="false">SUMIFS('ffp5cs 230V'!$F:$F,'ffp5cs 230V'!$A:$A,$A28,'ffp5cs 230V'!$G:$G,$D28)</f>
        <v>0</v>
      </c>
      <c r="H28" s="20" t="n">
        <f aca="false">SUMIFS('ffp5cs 12V'!$F:$F,'ffp5cs 12V'!$A:$A,$A28,'ffp5cs 12V'!$G:$G,$D28)</f>
        <v>1</v>
      </c>
      <c r="I28" s="21" t="n">
        <f aca="false">SUM(E28:H28)</f>
        <v>1</v>
      </c>
      <c r="J28" s="22" t="n">
        <v>1</v>
      </c>
      <c r="K28" s="18" t="n">
        <f aca="false">IF(I28=0,0,I28+J28)</f>
        <v>2</v>
      </c>
      <c r="L28" s="18" t="n">
        <f aca="false">INDEX(Prix!$E$5:$E$79,MATCH($A28,Prix!$A$5:$A$79,0))</f>
        <v>1</v>
      </c>
      <c r="M28" s="18" t="n">
        <f aca="false">IF(K28=0,0,ROUNDUP(K28/L28,0))</f>
        <v>2</v>
      </c>
      <c r="N28" s="23" t="n">
        <f aca="false">IF(INDEX(Prix!$D$5:$D$79,MATCH($A28,Prix!$A$5:$A$79,0))="","",INDEX(Prix!$D$5:$D$79,MATCH($A28,Prix!$A$5:$A$79,0)))</f>
        <v>2</v>
      </c>
      <c r="O28" s="23" t="n">
        <f aca="false">IF(N28="","",M28*N28)</f>
        <v>4</v>
      </c>
      <c r="P28" s="18" t="str">
        <f aca="false">INDEX(Prix!$C$5:$C$79,MATCH($A28,Prix!$A$5:$A$79,0))</f>
        <v>A2itronic</v>
      </c>
      <c r="Q28" s="18" t="str">
        <f aca="false">INDEX(Prix!$H$5:$H$79,MATCH($A28,Prix!$A$5:$A$79,0))</f>
        <v>Maroc</v>
      </c>
      <c r="R28" s="19" t="s">
        <v>95</v>
      </c>
      <c r="S28" s="24" t="s">
        <v>60</v>
      </c>
    </row>
    <row r="29" customFormat="false" ht="23.85" hidden="false" customHeight="false" outlineLevel="0" collapsed="false">
      <c r="A29" s="17" t="s">
        <v>96</v>
      </c>
      <c r="B29" s="18" t="s">
        <v>81</v>
      </c>
      <c r="C29" s="19" t="s">
        <v>97</v>
      </c>
      <c r="D29" s="18" t="s">
        <v>58</v>
      </c>
      <c r="E29" s="20" t="n">
        <f aca="false">SUMIFS(msp1!$F:$F,msp1!$A:$A,$A29,msp1!$G:$G,$D29)</f>
        <v>1</v>
      </c>
      <c r="F29" s="20" t="n">
        <f aca="false">SUMIFS(n3pp!$F:$F,n3pp!$A:$A,$A29,n3pp!$G:$G,$D29)</f>
        <v>1</v>
      </c>
      <c r="G29" s="20" t="n">
        <f aca="false">SUMIFS('ffp5cs 230V'!$F:$F,'ffp5cs 230V'!$A:$A,$A29,'ffp5cs 230V'!$G:$G,$D29)</f>
        <v>1</v>
      </c>
      <c r="H29" s="20" t="n">
        <f aca="false">SUMIFS('ffp5cs 12V'!$F:$F,'ffp5cs 12V'!$A:$A,$A29,'ffp5cs 12V'!$G:$G,$D29)</f>
        <v>1</v>
      </c>
      <c r="I29" s="21" t="n">
        <f aca="false">SUM(E29:H29)</f>
        <v>4</v>
      </c>
      <c r="J29" s="22" t="n">
        <v>1</v>
      </c>
      <c r="K29" s="18" t="n">
        <f aca="false">IF(I29=0,0,I29+J29)</f>
        <v>5</v>
      </c>
      <c r="L29" s="18" t="n">
        <f aca="false">INDEX(Prix!$E$5:$E$79,MATCH($A29,Prix!$A$5:$A$79,0))</f>
        <v>1</v>
      </c>
      <c r="M29" s="18" t="n">
        <f aca="false">IF(K29=0,0,ROUNDUP(K29/L29,0))</f>
        <v>5</v>
      </c>
      <c r="N29" s="23" t="n">
        <f aca="false">IF(INDEX(Prix!$D$5:$D$79,MATCH($A29,Prix!$A$5:$A$79,0))="","",INDEX(Prix!$D$5:$D$79,MATCH($A29,Prix!$A$5:$A$79,0)))</f>
        <v>3</v>
      </c>
      <c r="O29" s="23" t="n">
        <f aca="false">IF(N29="","",M29*N29)</f>
        <v>15</v>
      </c>
      <c r="P29" s="18" t="str">
        <f aca="false">INDEX(Prix!$C$5:$C$79,MATCH($A29,Prix!$A$5:$A$79,0))</f>
        <v>A2itronic</v>
      </c>
      <c r="Q29" s="18" t="str">
        <f aca="false">INDEX(Prix!$H$5:$H$79,MATCH($A29,Prix!$A$5:$A$79,0))</f>
        <v>Maroc</v>
      </c>
      <c r="R29" s="19" t="s">
        <v>98</v>
      </c>
      <c r="S29" s="24" t="s">
        <v>60</v>
      </c>
    </row>
    <row r="30" customFormat="false" ht="23.85" hidden="false" customHeight="false" outlineLevel="0" collapsed="false">
      <c r="A30" s="25" t="s">
        <v>99</v>
      </c>
      <c r="B30" s="26" t="s">
        <v>100</v>
      </c>
      <c r="C30" s="27" t="s">
        <v>101</v>
      </c>
      <c r="D30" s="26" t="s">
        <v>58</v>
      </c>
      <c r="E30" s="28" t="n">
        <f aca="false">SUMIFS(msp1!$F:$F,msp1!$A:$A,$A30,msp1!$G:$G,$D30)</f>
        <v>0</v>
      </c>
      <c r="F30" s="28" t="n">
        <f aca="false">SUMIFS(n3pp!$F:$F,n3pp!$A:$A,$A30,n3pp!$G:$G,$D30)</f>
        <v>1</v>
      </c>
      <c r="G30" s="28" t="n">
        <f aca="false">SUMIFS('ffp5cs 230V'!$F:$F,'ffp5cs 230V'!$A:$A,$A30,'ffp5cs 230V'!$G:$G,$D30)</f>
        <v>6</v>
      </c>
      <c r="H30" s="28" t="n">
        <f aca="false">SUMIFS('ffp5cs 12V'!$F:$F,'ffp5cs 12V'!$A:$A,$A30,'ffp5cs 12V'!$G:$G,$D30)</f>
        <v>6</v>
      </c>
      <c r="I30" s="29" t="n">
        <f aca="false">SUM(E30:H30)</f>
        <v>13</v>
      </c>
      <c r="J30" s="30" t="n">
        <v>3</v>
      </c>
      <c r="K30" s="26" t="n">
        <f aca="false">IF(I30=0,0,I30+J30)</f>
        <v>16</v>
      </c>
      <c r="L30" s="26" t="n">
        <f aca="false">INDEX(Prix!$E$5:$E$79,MATCH($A30,Prix!$A$5:$A$79,0))</f>
        <v>1</v>
      </c>
      <c r="M30" s="26" t="n">
        <f aca="false">IF(K30=0,0,ROUNDUP(K30/L30,0))</f>
        <v>16</v>
      </c>
      <c r="N30" s="31" t="n">
        <f aca="false">IF(INDEX(Prix!$D$5:$D$79,MATCH($A30,Prix!$A$5:$A$79,0))="","",INDEX(Prix!$D$5:$D$79,MATCH($A30,Prix!$A$5:$A$79,0)))</f>
        <v>0.9</v>
      </c>
      <c r="O30" s="31" t="n">
        <f aca="false">IF(N30="","",M30*N30)</f>
        <v>14.4</v>
      </c>
      <c r="P30" s="26" t="str">
        <f aca="false">INDEX(Prix!$C$5:$C$79,MATCH($A30,Prix!$A$5:$A$79,0))</f>
        <v>Shop4Makers</v>
      </c>
      <c r="Q30" s="26" t="str">
        <f aca="false">INDEX(Prix!$H$5:$H$79,MATCH($A30,Prix!$A$5:$A$79,0))</f>
        <v>Maroc</v>
      </c>
      <c r="R30" s="27"/>
      <c r="S30" s="32" t="s">
        <v>60</v>
      </c>
    </row>
    <row r="31" customFormat="false" ht="23.85" hidden="false" customHeight="false" outlineLevel="0" collapsed="false">
      <c r="A31" s="25" t="s">
        <v>102</v>
      </c>
      <c r="B31" s="26" t="s">
        <v>100</v>
      </c>
      <c r="C31" s="27" t="s">
        <v>103</v>
      </c>
      <c r="D31" s="26" t="s">
        <v>58</v>
      </c>
      <c r="E31" s="28" t="n">
        <f aca="false">SUMIFS(msp1!$F:$F,msp1!$A:$A,$A31,msp1!$G:$G,$D31)</f>
        <v>1</v>
      </c>
      <c r="F31" s="28" t="n">
        <f aca="false">SUMIFS(n3pp!$F:$F,n3pp!$A:$A,$A31,n3pp!$G:$G,$D31)</f>
        <v>1</v>
      </c>
      <c r="G31" s="28" t="n">
        <f aca="false">SUMIFS('ffp5cs 230V'!$F:$F,'ffp5cs 230V'!$A:$A,$A31,'ffp5cs 230V'!$G:$G,$D31)</f>
        <v>0</v>
      </c>
      <c r="H31" s="28" t="n">
        <f aca="false">SUMIFS('ffp5cs 12V'!$F:$F,'ffp5cs 12V'!$A:$A,$A31,'ffp5cs 12V'!$G:$G,$D31)</f>
        <v>1</v>
      </c>
      <c r="I31" s="29" t="n">
        <f aca="false">SUM(E31:H31)</f>
        <v>3</v>
      </c>
      <c r="J31" s="30" t="n">
        <v>1</v>
      </c>
      <c r="K31" s="26" t="n">
        <f aca="false">IF(I31=0,0,I31+J31)</f>
        <v>4</v>
      </c>
      <c r="L31" s="26" t="n">
        <f aca="false">INDEX(Prix!$E$5:$E$79,MATCH($A31,Prix!$A$5:$A$79,0))</f>
        <v>1</v>
      </c>
      <c r="M31" s="26" t="n">
        <f aca="false">IF(K31=0,0,ROUNDUP(K31/L31,0))</f>
        <v>4</v>
      </c>
      <c r="N31" s="31" t="n">
        <f aca="false">IF(INDEX(Prix!$D$5:$D$79,MATCH($A31,Prix!$A$5:$A$79,0))="","",INDEX(Prix!$D$5:$D$79,MATCH($A31,Prix!$A$5:$A$79,0)))</f>
        <v>2</v>
      </c>
      <c r="O31" s="31" t="n">
        <f aca="false">IF(N31="","",M31*N31)</f>
        <v>8</v>
      </c>
      <c r="P31" s="26" t="str">
        <f aca="false">INDEX(Prix!$C$5:$C$79,MATCH($A31,Prix!$A$5:$A$79,0))</f>
        <v>Moussasoft</v>
      </c>
      <c r="Q31" s="26" t="str">
        <f aca="false">INDEX(Prix!$H$5:$H$79,MATCH($A31,Prix!$A$5:$A$79,0))</f>
        <v>Maroc</v>
      </c>
      <c r="R31" s="27" t="s">
        <v>104</v>
      </c>
      <c r="S31" s="32" t="s">
        <v>60</v>
      </c>
    </row>
    <row r="32" customFormat="false" ht="23.85" hidden="false" customHeight="false" outlineLevel="0" collapsed="false">
      <c r="A32" s="33" t="s">
        <v>105</v>
      </c>
      <c r="B32" s="34" t="s">
        <v>100</v>
      </c>
      <c r="C32" s="35" t="s">
        <v>106</v>
      </c>
      <c r="D32" s="34" t="s">
        <v>58</v>
      </c>
      <c r="E32" s="36" t="n">
        <f aca="false">SUMIFS(msp1!$F:$F,msp1!$A:$A,$A32,msp1!$G:$G,$D32)</f>
        <v>1</v>
      </c>
      <c r="F32" s="36" t="n">
        <f aca="false">SUMIFS(n3pp!$F:$F,n3pp!$A:$A,$A32,n3pp!$G:$G,$D32)</f>
        <v>1</v>
      </c>
      <c r="G32" s="36" t="n">
        <f aca="false">SUMIFS('ffp5cs 230V'!$F:$F,'ffp5cs 230V'!$A:$A,$A32,'ffp5cs 230V'!$G:$G,$D32)</f>
        <v>1</v>
      </c>
      <c r="H32" s="36" t="n">
        <f aca="false">SUMIFS('ffp5cs 12V'!$F:$F,'ffp5cs 12V'!$A:$A,$A32,'ffp5cs 12V'!$G:$G,$D32)</f>
        <v>1</v>
      </c>
      <c r="I32" s="37" t="n">
        <f aca="false">SUM(E32:H32)</f>
        <v>4</v>
      </c>
      <c r="J32" s="38" t="n">
        <v>1</v>
      </c>
      <c r="K32" s="34" t="n">
        <f aca="false">IF(I32=0,0,I32+J32)</f>
        <v>5</v>
      </c>
      <c r="L32" s="34" t="n">
        <f aca="false">INDEX(Prix!$E$5:$E$79,MATCH($A32,Prix!$A$5:$A$79,0))</f>
        <v>1</v>
      </c>
      <c r="M32" s="34" t="n">
        <f aca="false">IF(K32=0,0,ROUNDUP(K32/L32,0))</f>
        <v>5</v>
      </c>
      <c r="N32" s="39" t="str">
        <f aca="false">IF(INDEX(Prix!$D$5:$D$79,MATCH($A32,Prix!$A$5:$A$79,0))="","",INDEX(Prix!$D$5:$D$79,MATCH($A32,Prix!$A$5:$A$79,0)))</f>
        <v/>
      </c>
      <c r="O32" s="39" t="str">
        <f aca="false">IF(N32="","",M32*N32)</f>
        <v/>
      </c>
      <c r="P32" s="34" t="str">
        <f aca="false">INDEX(Prix!$C$5:$C$79,MATCH($A32,Prix!$A$5:$A$79,0))</f>
        <v>LCSC</v>
      </c>
      <c r="Q32" s="34" t="str">
        <f aca="false">INDEX(Prix!$H$5:$H$79,MATCH($A32,Prix!$A$5:$A$79,0))</f>
        <v>Import LCSC</v>
      </c>
      <c r="R32" s="35" t="s">
        <v>107</v>
      </c>
      <c r="S32" s="40" t="s">
        <v>60</v>
      </c>
    </row>
    <row r="33" customFormat="false" ht="23.85" hidden="false" customHeight="false" outlineLevel="0" collapsed="false">
      <c r="A33" s="33" t="s">
        <v>108</v>
      </c>
      <c r="B33" s="34" t="s">
        <v>100</v>
      </c>
      <c r="C33" s="35" t="s">
        <v>109</v>
      </c>
      <c r="D33" s="34" t="s">
        <v>58</v>
      </c>
      <c r="E33" s="36" t="n">
        <f aca="false">SUMIFS(msp1!$F:$F,msp1!$A:$A,$A33,msp1!$G:$G,$D33)</f>
        <v>0</v>
      </c>
      <c r="F33" s="36" t="n">
        <f aca="false">SUMIFS(n3pp!$F:$F,n3pp!$A:$A,$A33,n3pp!$G:$G,$D33)</f>
        <v>0</v>
      </c>
      <c r="G33" s="36" t="n">
        <f aca="false">SUMIFS('ffp5cs 230V'!$F:$F,'ffp5cs 230V'!$A:$A,$A33,'ffp5cs 230V'!$G:$G,$D33)</f>
        <v>0</v>
      </c>
      <c r="H33" s="36" t="n">
        <f aca="false">SUMIFS('ffp5cs 12V'!$F:$F,'ffp5cs 12V'!$A:$A,$A33,'ffp5cs 12V'!$G:$G,$D33)</f>
        <v>1</v>
      </c>
      <c r="I33" s="37" t="n">
        <f aca="false">SUM(E33:H33)</f>
        <v>1</v>
      </c>
      <c r="J33" s="38" t="n">
        <v>1</v>
      </c>
      <c r="K33" s="34" t="n">
        <f aca="false">IF(I33=0,0,I33+J33)</f>
        <v>2</v>
      </c>
      <c r="L33" s="34" t="n">
        <f aca="false">INDEX(Prix!$E$5:$E$79,MATCH($A33,Prix!$A$5:$A$79,0))</f>
        <v>1</v>
      </c>
      <c r="M33" s="34" t="n">
        <f aca="false">IF(K33=0,0,ROUNDUP(K33/L33,0))</f>
        <v>2</v>
      </c>
      <c r="N33" s="39" t="str">
        <f aca="false">IF(INDEX(Prix!$D$5:$D$79,MATCH($A33,Prix!$A$5:$A$79,0))="","",INDEX(Prix!$D$5:$D$79,MATCH($A33,Prix!$A$5:$A$79,0)))</f>
        <v/>
      </c>
      <c r="O33" s="39" t="str">
        <f aca="false">IF(N33="","",M33*N33)</f>
        <v/>
      </c>
      <c r="P33" s="34" t="str">
        <f aca="false">INDEX(Prix!$C$5:$C$79,MATCH($A33,Prix!$A$5:$A$79,0))</f>
        <v>LCSC</v>
      </c>
      <c r="Q33" s="34" t="str">
        <f aca="false">INDEX(Prix!$H$5:$H$79,MATCH($A33,Prix!$A$5:$A$79,0))</f>
        <v>Import LCSC</v>
      </c>
      <c r="R33" s="35" t="s">
        <v>110</v>
      </c>
      <c r="S33" s="40" t="s">
        <v>60</v>
      </c>
    </row>
    <row r="34" customFormat="false" ht="15" hidden="false" customHeight="false" outlineLevel="0" collapsed="false">
      <c r="A34" s="25" t="s">
        <v>111</v>
      </c>
      <c r="B34" s="26" t="s">
        <v>100</v>
      </c>
      <c r="C34" s="27" t="s">
        <v>112</v>
      </c>
      <c r="D34" s="26" t="s">
        <v>58</v>
      </c>
      <c r="E34" s="28" t="n">
        <f aca="false">SUMIFS(msp1!$F:$F,msp1!$A:$A,$A34,msp1!$G:$G,$D34)</f>
        <v>0</v>
      </c>
      <c r="F34" s="28" t="n">
        <f aca="false">SUMIFS(n3pp!$F:$F,n3pp!$A:$A,$A34,n3pp!$G:$G,$D34)</f>
        <v>0</v>
      </c>
      <c r="G34" s="28" t="n">
        <f aca="false">SUMIFS('ffp5cs 230V'!$F:$F,'ffp5cs 230V'!$A:$A,$A34,'ffp5cs 230V'!$G:$G,$D34)</f>
        <v>0</v>
      </c>
      <c r="H34" s="28" t="n">
        <f aca="false">SUMIFS('ffp5cs 12V'!$F:$F,'ffp5cs 12V'!$A:$A,$A34,'ffp5cs 12V'!$G:$G,$D34)</f>
        <v>1</v>
      </c>
      <c r="I34" s="29" t="n">
        <f aca="false">SUM(E34:H34)</f>
        <v>1</v>
      </c>
      <c r="J34" s="30" t="n">
        <v>1</v>
      </c>
      <c r="K34" s="26" t="n">
        <f aca="false">IF(I34=0,0,I34+J34)</f>
        <v>2</v>
      </c>
      <c r="L34" s="26" t="n">
        <f aca="false">INDEX(Prix!$E$5:$E$79,MATCH($A34,Prix!$A$5:$A$79,0))</f>
        <v>1</v>
      </c>
      <c r="M34" s="26" t="n">
        <f aca="false">IF(K34=0,0,ROUNDUP(K34/L34,0))</f>
        <v>2</v>
      </c>
      <c r="N34" s="31" t="n">
        <f aca="false">IF(INDEX(Prix!$D$5:$D$79,MATCH($A34,Prix!$A$5:$A$79,0))="","",INDEX(Prix!$D$5:$D$79,MATCH($A34,Prix!$A$5:$A$79,0)))</f>
        <v>2</v>
      </c>
      <c r="O34" s="31" t="n">
        <f aca="false">IF(N34="","",M34*N34)</f>
        <v>4</v>
      </c>
      <c r="P34" s="26" t="str">
        <f aca="false">INDEX(Prix!$C$5:$C$79,MATCH($A34,Prix!$A$5:$A$79,0))</f>
        <v>MicroPlanet</v>
      </c>
      <c r="Q34" s="26" t="str">
        <f aca="false">INDEX(Prix!$H$5:$H$79,MATCH($A34,Prix!$A$5:$A$79,0))</f>
        <v>Maroc</v>
      </c>
      <c r="R34" s="27" t="s">
        <v>113</v>
      </c>
      <c r="S34" s="32" t="s">
        <v>60</v>
      </c>
    </row>
    <row r="35" customFormat="false" ht="15" hidden="false" customHeight="false" outlineLevel="0" collapsed="false">
      <c r="A35" s="25" t="s">
        <v>114</v>
      </c>
      <c r="B35" s="26" t="s">
        <v>100</v>
      </c>
      <c r="C35" s="27" t="s">
        <v>115</v>
      </c>
      <c r="D35" s="26" t="s">
        <v>58</v>
      </c>
      <c r="E35" s="28" t="n">
        <f aca="false">SUMIFS(msp1!$F:$F,msp1!$A:$A,$A35,msp1!$G:$G,$D35)</f>
        <v>1</v>
      </c>
      <c r="F35" s="28" t="n">
        <f aca="false">SUMIFS(n3pp!$F:$F,n3pp!$A:$A,$A35,n3pp!$G:$G,$D35)</f>
        <v>2</v>
      </c>
      <c r="G35" s="28" t="n">
        <f aca="false">SUMIFS('ffp5cs 230V'!$F:$F,'ffp5cs 230V'!$A:$A,$A35,'ffp5cs 230V'!$G:$G,$D35)</f>
        <v>7</v>
      </c>
      <c r="H35" s="28" t="n">
        <f aca="false">SUMIFS('ffp5cs 12V'!$F:$F,'ffp5cs 12V'!$A:$A,$A35,'ffp5cs 12V'!$G:$G,$D35)</f>
        <v>7</v>
      </c>
      <c r="I35" s="29" t="n">
        <f aca="false">SUM(E35:H35)</f>
        <v>17</v>
      </c>
      <c r="J35" s="30" t="n">
        <v>3</v>
      </c>
      <c r="K35" s="26" t="n">
        <f aca="false">IF(I35=0,0,I35+J35)</f>
        <v>20</v>
      </c>
      <c r="L35" s="26" t="n">
        <f aca="false">INDEX(Prix!$E$5:$E$79,MATCH($A35,Prix!$A$5:$A$79,0))</f>
        <v>1</v>
      </c>
      <c r="M35" s="26" t="n">
        <f aca="false">IF(K35=0,0,ROUNDUP(K35/L35,0))</f>
        <v>20</v>
      </c>
      <c r="N35" s="31" t="n">
        <f aca="false">IF(INDEX(Prix!$D$5:$D$79,MATCH($A35,Prix!$A$5:$A$79,0))="","",INDEX(Prix!$D$5:$D$79,MATCH($A35,Prix!$A$5:$A$79,0)))</f>
        <v>1</v>
      </c>
      <c r="O35" s="31" t="n">
        <f aca="false">IF(N35="","",M35*N35)</f>
        <v>20</v>
      </c>
      <c r="P35" s="26" t="str">
        <f aca="false">INDEX(Prix!$C$5:$C$79,MATCH($A35,Prix!$A$5:$A$79,0))</f>
        <v>A2itronic</v>
      </c>
      <c r="Q35" s="26" t="str">
        <f aca="false">INDEX(Prix!$H$5:$H$79,MATCH($A35,Prix!$A$5:$A$79,0))</f>
        <v>Maroc</v>
      </c>
      <c r="R35" s="27" t="s">
        <v>116</v>
      </c>
      <c r="S35" s="32" t="s">
        <v>60</v>
      </c>
    </row>
    <row r="36" customFormat="false" ht="15" hidden="false" customHeight="false" outlineLevel="0" collapsed="false">
      <c r="A36" s="25" t="s">
        <v>117</v>
      </c>
      <c r="B36" s="26" t="s">
        <v>100</v>
      </c>
      <c r="C36" s="27" t="s">
        <v>118</v>
      </c>
      <c r="D36" s="26" t="s">
        <v>58</v>
      </c>
      <c r="E36" s="28" t="n">
        <f aca="false">SUMIFS(msp1!$F:$F,msp1!$A:$A,$A36,msp1!$G:$G,$D36)</f>
        <v>2</v>
      </c>
      <c r="F36" s="28" t="n">
        <f aca="false">SUMIFS(n3pp!$F:$F,n3pp!$A:$A,$A36,n3pp!$G:$G,$D36)</f>
        <v>2</v>
      </c>
      <c r="G36" s="28" t="n">
        <f aca="false">SUMIFS('ffp5cs 230V'!$F:$F,'ffp5cs 230V'!$A:$A,$A36,'ffp5cs 230V'!$G:$G,$D36)</f>
        <v>2</v>
      </c>
      <c r="H36" s="28" t="n">
        <f aca="false">SUMIFS('ffp5cs 12V'!$F:$F,'ffp5cs 12V'!$A:$A,$A36,'ffp5cs 12V'!$G:$G,$D36)</f>
        <v>3</v>
      </c>
      <c r="I36" s="29" t="n">
        <f aca="false">SUM(E36:H36)</f>
        <v>9</v>
      </c>
      <c r="J36" s="30" t="n">
        <v>1</v>
      </c>
      <c r="K36" s="26" t="n">
        <f aca="false">IF(I36=0,0,I36+J36)</f>
        <v>10</v>
      </c>
      <c r="L36" s="26" t="n">
        <f aca="false">INDEX(Prix!$E$5:$E$79,MATCH($A36,Prix!$A$5:$A$79,0))</f>
        <v>1</v>
      </c>
      <c r="M36" s="26" t="n">
        <f aca="false">IF(K36=0,0,ROUNDUP(K36/L36,0))</f>
        <v>10</v>
      </c>
      <c r="N36" s="31" t="n">
        <f aca="false">IF(INDEX(Prix!$D$5:$D$79,MATCH($A36,Prix!$A$5:$A$79,0))="","",INDEX(Prix!$D$5:$D$79,MATCH($A36,Prix!$A$5:$A$79,0)))</f>
        <v>10</v>
      </c>
      <c r="O36" s="31" t="n">
        <f aca="false">IF(N36="","",M36*N36)</f>
        <v>100</v>
      </c>
      <c r="P36" s="26" t="str">
        <f aca="false">INDEX(Prix!$C$5:$C$79,MATCH($A36,Prix!$A$5:$A$79,0))</f>
        <v>A2itronic</v>
      </c>
      <c r="Q36" s="26" t="str">
        <f aca="false">INDEX(Prix!$H$5:$H$79,MATCH($A36,Prix!$A$5:$A$79,0))</f>
        <v>Maroc</v>
      </c>
      <c r="R36" s="27" t="s">
        <v>119</v>
      </c>
      <c r="S36" s="32" t="s">
        <v>60</v>
      </c>
    </row>
    <row r="37" customFormat="false" ht="23.85" hidden="false" customHeight="false" outlineLevel="0" collapsed="false">
      <c r="A37" s="25" t="s">
        <v>120</v>
      </c>
      <c r="B37" s="26" t="s">
        <v>100</v>
      </c>
      <c r="C37" s="27" t="s">
        <v>121</v>
      </c>
      <c r="D37" s="26" t="s">
        <v>58</v>
      </c>
      <c r="E37" s="28" t="n">
        <f aca="false">SUMIFS(msp1!$F:$F,msp1!$A:$A,$A37,msp1!$G:$G,$D37)</f>
        <v>1</v>
      </c>
      <c r="F37" s="28" t="n">
        <f aca="false">SUMIFS(n3pp!$F:$F,n3pp!$A:$A,$A37,n3pp!$G:$G,$D37)</f>
        <v>1</v>
      </c>
      <c r="G37" s="28" t="n">
        <f aca="false">SUMIFS('ffp5cs 230V'!$F:$F,'ffp5cs 230V'!$A:$A,$A37,'ffp5cs 230V'!$G:$G,$D37)</f>
        <v>1</v>
      </c>
      <c r="H37" s="28" t="n">
        <f aca="false">SUMIFS('ffp5cs 12V'!$F:$F,'ffp5cs 12V'!$A:$A,$A37,'ffp5cs 12V'!$G:$G,$D37)</f>
        <v>1</v>
      </c>
      <c r="I37" s="29" t="n">
        <f aca="false">SUM(E37:H37)</f>
        <v>4</v>
      </c>
      <c r="J37" s="30" t="n">
        <v>1</v>
      </c>
      <c r="K37" s="26" t="n">
        <f aca="false">IF(I37=0,0,I37+J37)</f>
        <v>5</v>
      </c>
      <c r="L37" s="26" t="n">
        <f aca="false">INDEX(Prix!$E$5:$E$79,MATCH($A37,Prix!$A$5:$A$79,0))</f>
        <v>1</v>
      </c>
      <c r="M37" s="26" t="n">
        <f aca="false">IF(K37=0,0,ROUNDUP(K37/L37,0))</f>
        <v>5</v>
      </c>
      <c r="N37" s="31" t="n">
        <f aca="false">IF(INDEX(Prix!$D$5:$D$79,MATCH($A37,Prix!$A$5:$A$79,0))="","",INDEX(Prix!$D$5:$D$79,MATCH($A37,Prix!$A$5:$A$79,0)))</f>
        <v>7.5</v>
      </c>
      <c r="O37" s="31" t="n">
        <f aca="false">IF(N37="","",M37*N37)</f>
        <v>37.5</v>
      </c>
      <c r="P37" s="26" t="str">
        <f aca="false">INDEX(Prix!$C$5:$C$79,MATCH($A37,Prix!$A$5:$A$79,0))</f>
        <v>Megma</v>
      </c>
      <c r="Q37" s="26" t="str">
        <f aca="false">INDEX(Prix!$H$5:$H$79,MATCH($A37,Prix!$A$5:$A$79,0))</f>
        <v>Maroc</v>
      </c>
      <c r="R37" s="27" t="s">
        <v>122</v>
      </c>
      <c r="S37" s="32" t="s">
        <v>60</v>
      </c>
    </row>
    <row r="38" customFormat="false" ht="15" hidden="false" customHeight="false" outlineLevel="0" collapsed="false">
      <c r="A38" s="25" t="s">
        <v>123</v>
      </c>
      <c r="B38" s="26" t="s">
        <v>100</v>
      </c>
      <c r="C38" s="27" t="s">
        <v>124</v>
      </c>
      <c r="D38" s="26" t="s">
        <v>58</v>
      </c>
      <c r="E38" s="28" t="n">
        <f aca="false">SUMIFS(msp1!$F:$F,msp1!$A:$A,$A38,msp1!$G:$G,$D38)</f>
        <v>0</v>
      </c>
      <c r="F38" s="28" t="n">
        <f aca="false">SUMIFS(n3pp!$F:$F,n3pp!$A:$A,$A38,n3pp!$G:$G,$D38)</f>
        <v>1</v>
      </c>
      <c r="G38" s="28" t="n">
        <f aca="false">SUMIFS('ffp5cs 230V'!$F:$F,'ffp5cs 230V'!$A:$A,$A38,'ffp5cs 230V'!$G:$G,$D38)</f>
        <v>6</v>
      </c>
      <c r="H38" s="28" t="n">
        <f aca="false">SUMIFS('ffp5cs 12V'!$F:$F,'ffp5cs 12V'!$A:$A,$A38,'ffp5cs 12V'!$G:$G,$D38)</f>
        <v>6</v>
      </c>
      <c r="I38" s="29" t="n">
        <f aca="false">SUM(E38:H38)</f>
        <v>13</v>
      </c>
      <c r="J38" s="30" t="n">
        <v>2</v>
      </c>
      <c r="K38" s="26" t="n">
        <f aca="false">IF(I38=0,0,I38+J38)</f>
        <v>15</v>
      </c>
      <c r="L38" s="26" t="n">
        <f aca="false">INDEX(Prix!$E$5:$E$79,MATCH($A38,Prix!$A$5:$A$79,0))</f>
        <v>1</v>
      </c>
      <c r="M38" s="26" t="n">
        <f aca="false">IF(K38=0,0,ROUNDUP(K38/L38,0))</f>
        <v>15</v>
      </c>
      <c r="N38" s="31" t="n">
        <f aca="false">IF(INDEX(Prix!$D$5:$D$79,MATCH($A38,Prix!$A$5:$A$79,0))="","",INDEX(Prix!$D$5:$D$79,MATCH($A38,Prix!$A$5:$A$79,0)))</f>
        <v>1</v>
      </c>
      <c r="O38" s="31" t="n">
        <f aca="false">IF(N38="","",M38*N38)</f>
        <v>15</v>
      </c>
      <c r="P38" s="26" t="str">
        <f aca="false">INDEX(Prix!$C$5:$C$79,MATCH($A38,Prix!$A$5:$A$79,0))</f>
        <v>Moussasoft</v>
      </c>
      <c r="Q38" s="26" t="str">
        <f aca="false">INDEX(Prix!$H$5:$H$79,MATCH($A38,Prix!$A$5:$A$79,0))</f>
        <v>Maroc</v>
      </c>
      <c r="R38" s="27"/>
      <c r="S38" s="32" t="s">
        <v>60</v>
      </c>
    </row>
    <row r="39" customFormat="false" ht="15" hidden="false" customHeight="false" outlineLevel="0" collapsed="false">
      <c r="A39" s="25" t="s">
        <v>125</v>
      </c>
      <c r="B39" s="26" t="s">
        <v>100</v>
      </c>
      <c r="C39" s="27" t="s">
        <v>126</v>
      </c>
      <c r="D39" s="26" t="s">
        <v>58</v>
      </c>
      <c r="E39" s="28" t="n">
        <f aca="false">SUMIFS(msp1!$F:$F,msp1!$A:$A,$A39,msp1!$G:$G,$D39)</f>
        <v>0</v>
      </c>
      <c r="F39" s="28" t="n">
        <f aca="false">SUMIFS(n3pp!$F:$F,n3pp!$A:$A,$A39,n3pp!$G:$G,$D39)</f>
        <v>0</v>
      </c>
      <c r="G39" s="28" t="n">
        <f aca="false">SUMIFS('ffp5cs 230V'!$F:$F,'ffp5cs 230V'!$A:$A,$A39,'ffp5cs 230V'!$G:$G,$D39)</f>
        <v>1</v>
      </c>
      <c r="H39" s="28" t="n">
        <f aca="false">SUMIFS('ffp5cs 12V'!$F:$F,'ffp5cs 12V'!$A:$A,$A39,'ffp5cs 12V'!$G:$G,$D39)</f>
        <v>1</v>
      </c>
      <c r="I39" s="29" t="n">
        <f aca="false">SUM(E39:H39)</f>
        <v>2</v>
      </c>
      <c r="J39" s="30" t="n">
        <v>1</v>
      </c>
      <c r="K39" s="26" t="n">
        <f aca="false">IF(I39=0,0,I39+J39)</f>
        <v>3</v>
      </c>
      <c r="L39" s="26" t="n">
        <f aca="false">INDEX(Prix!$E$5:$E$79,MATCH($A39,Prix!$A$5:$A$79,0))</f>
        <v>1</v>
      </c>
      <c r="M39" s="26" t="n">
        <f aca="false">IF(K39=0,0,ROUNDUP(K39/L39,0))</f>
        <v>3</v>
      </c>
      <c r="N39" s="31" t="n">
        <f aca="false">IF(INDEX(Prix!$D$5:$D$79,MATCH($A39,Prix!$A$5:$A$79,0))="","",INDEX(Prix!$D$5:$D$79,MATCH($A39,Prix!$A$5:$A$79,0)))</f>
        <v>0.9</v>
      </c>
      <c r="O39" s="31" t="n">
        <f aca="false">IF(N39="","",M39*N39)</f>
        <v>2.7</v>
      </c>
      <c r="P39" s="26" t="str">
        <f aca="false">INDEX(Prix!$C$5:$C$79,MATCH($A39,Prix!$A$5:$A$79,0))</f>
        <v>Shop4Makers</v>
      </c>
      <c r="Q39" s="26" t="str">
        <f aca="false">INDEX(Prix!$H$5:$H$79,MATCH($A39,Prix!$A$5:$A$79,0))</f>
        <v>Maroc</v>
      </c>
      <c r="R39" s="27"/>
      <c r="S39" s="32" t="s">
        <v>60</v>
      </c>
    </row>
    <row r="40" customFormat="false" ht="23.85" hidden="false" customHeight="false" outlineLevel="0" collapsed="false">
      <c r="A40" s="17" t="s">
        <v>127</v>
      </c>
      <c r="B40" s="18" t="s">
        <v>128</v>
      </c>
      <c r="C40" s="19" t="s">
        <v>129</v>
      </c>
      <c r="D40" s="18" t="s">
        <v>58</v>
      </c>
      <c r="E40" s="20" t="n">
        <f aca="false">SUMIFS(msp1!$F:$F,msp1!$A:$A,$A40,msp1!$G:$G,$D40)</f>
        <v>0</v>
      </c>
      <c r="F40" s="20" t="n">
        <f aca="false">SUMIFS(n3pp!$F:$F,n3pp!$A:$A,$A40,n3pp!$G:$G,$D40)</f>
        <v>1</v>
      </c>
      <c r="G40" s="20" t="n">
        <f aca="false">SUMIFS('ffp5cs 230V'!$F:$F,'ffp5cs 230V'!$A:$A,$A40,'ffp5cs 230V'!$G:$G,$D40)</f>
        <v>6</v>
      </c>
      <c r="H40" s="20" t="n">
        <f aca="false">SUMIFS('ffp5cs 12V'!$F:$F,'ffp5cs 12V'!$A:$A,$A40,'ffp5cs 12V'!$G:$G,$D40)</f>
        <v>6</v>
      </c>
      <c r="I40" s="21" t="n">
        <f aca="false">SUM(E40:H40)</f>
        <v>13</v>
      </c>
      <c r="J40" s="22" t="n">
        <v>1</v>
      </c>
      <c r="K40" s="18" t="n">
        <f aca="false">IF(I40=0,0,I40+J40)</f>
        <v>14</v>
      </c>
      <c r="L40" s="18" t="n">
        <f aca="false">INDEX(Prix!$E$5:$E$79,MATCH($A40,Prix!$A$5:$A$79,0))</f>
        <v>1</v>
      </c>
      <c r="M40" s="18" t="n">
        <f aca="false">IF(K40=0,0,ROUNDUP(K40/L40,0))</f>
        <v>14</v>
      </c>
      <c r="N40" s="23" t="n">
        <f aca="false">IF(INDEX(Prix!$D$5:$D$79,MATCH($A40,Prix!$A$5:$A$79,0))="","",INDEX(Prix!$D$5:$D$79,MATCH($A40,Prix!$A$5:$A$79,0)))</f>
        <v>18</v>
      </c>
      <c r="O40" s="23" t="n">
        <f aca="false">IF(N40="","",M40*N40)</f>
        <v>252</v>
      </c>
      <c r="P40" s="18" t="str">
        <f aca="false">INDEX(Prix!$C$5:$C$79,MATCH($A40,Prix!$A$5:$A$79,0))</f>
        <v>Moussasoft</v>
      </c>
      <c r="Q40" s="18" t="str">
        <f aca="false">INDEX(Prix!$H$5:$H$79,MATCH($A40,Prix!$A$5:$A$79,0))</f>
        <v>Maroc</v>
      </c>
      <c r="R40" s="19" t="s">
        <v>130</v>
      </c>
      <c r="S40" s="24" t="s">
        <v>60</v>
      </c>
    </row>
    <row r="41" customFormat="false" ht="23.85" hidden="false" customHeight="false" outlineLevel="0" collapsed="false">
      <c r="A41" s="17" t="s">
        <v>131</v>
      </c>
      <c r="B41" s="18" t="s">
        <v>128</v>
      </c>
      <c r="C41" s="19" t="s">
        <v>132</v>
      </c>
      <c r="D41" s="18" t="s">
        <v>58</v>
      </c>
      <c r="E41" s="20" t="n">
        <f aca="false">SUMIFS(msp1!$F:$F,msp1!$A:$A,$A41,msp1!$G:$G,$D41)</f>
        <v>0</v>
      </c>
      <c r="F41" s="20" t="n">
        <f aca="false">SUMIFS(n3pp!$F:$F,n3pp!$A:$A,$A41,n3pp!$G:$G,$D41)</f>
        <v>0</v>
      </c>
      <c r="G41" s="20" t="n">
        <f aca="false">SUMIFS('ffp5cs 230V'!$F:$F,'ffp5cs 230V'!$A:$A,$A41,'ffp5cs 230V'!$G:$G,$D41)</f>
        <v>1</v>
      </c>
      <c r="H41" s="20" t="n">
        <f aca="false">SUMIFS('ffp5cs 12V'!$F:$F,'ffp5cs 12V'!$A:$A,$A41,'ffp5cs 12V'!$G:$G,$D41)</f>
        <v>0</v>
      </c>
      <c r="I41" s="21" t="n">
        <f aca="false">SUM(E41:H41)</f>
        <v>1</v>
      </c>
      <c r="J41" s="22" t="n">
        <v>1</v>
      </c>
      <c r="K41" s="18" t="n">
        <f aca="false">IF(I41=0,0,I41+J41)</f>
        <v>2</v>
      </c>
      <c r="L41" s="18" t="n">
        <f aca="false">INDEX(Prix!$E$5:$E$79,MATCH($A41,Prix!$A$5:$A$79,0))</f>
        <v>1</v>
      </c>
      <c r="M41" s="18" t="n">
        <f aca="false">IF(K41=0,0,ROUNDUP(K41/L41,0))</f>
        <v>2</v>
      </c>
      <c r="N41" s="23" t="n">
        <f aca="false">IF(INDEX(Prix!$D$5:$D$79,MATCH($A41,Prix!$A$5:$A$79,0))="","",INDEX(Prix!$D$5:$D$79,MATCH($A41,Prix!$A$5:$A$79,0)))</f>
        <v>4</v>
      </c>
      <c r="O41" s="23" t="n">
        <f aca="false">IF(N41="","",M41*N41)</f>
        <v>8</v>
      </c>
      <c r="P41" s="18" t="str">
        <f aca="false">INDEX(Prix!$C$5:$C$79,MATCH($A41,Prix!$A$5:$A$79,0))</f>
        <v>MicroPlanet</v>
      </c>
      <c r="Q41" s="18" t="str">
        <f aca="false">INDEX(Prix!$H$5:$H$79,MATCH($A41,Prix!$A$5:$A$79,0))</f>
        <v>Maroc</v>
      </c>
      <c r="R41" s="19" t="s">
        <v>133</v>
      </c>
      <c r="S41" s="24" t="s">
        <v>60</v>
      </c>
    </row>
    <row r="42" customFormat="false" ht="23.85" hidden="false" customHeight="false" outlineLevel="0" collapsed="false">
      <c r="A42" s="17" t="s">
        <v>134</v>
      </c>
      <c r="B42" s="18" t="s">
        <v>128</v>
      </c>
      <c r="C42" s="19" t="s">
        <v>135</v>
      </c>
      <c r="D42" s="18" t="s">
        <v>58</v>
      </c>
      <c r="E42" s="20" t="n">
        <f aca="false">SUMIFS(msp1!$F:$F,msp1!$A:$A,$A42,msp1!$G:$G,$D42)</f>
        <v>0</v>
      </c>
      <c r="F42" s="20" t="n">
        <f aca="false">SUMIFS(n3pp!$F:$F,n3pp!$A:$A,$A42,n3pp!$G:$G,$D42)</f>
        <v>0</v>
      </c>
      <c r="G42" s="20" t="n">
        <f aca="false">SUMIFS('ffp5cs 230V'!$F:$F,'ffp5cs 230V'!$A:$A,$A42,'ffp5cs 230V'!$G:$G,$D42)</f>
        <v>1</v>
      </c>
      <c r="H42" s="20" t="n">
        <f aca="false">SUMIFS('ffp5cs 12V'!$F:$F,'ffp5cs 12V'!$A:$A,$A42,'ffp5cs 12V'!$G:$G,$D42)</f>
        <v>0</v>
      </c>
      <c r="I42" s="21" t="n">
        <f aca="false">SUM(E42:H42)</f>
        <v>1</v>
      </c>
      <c r="J42" s="22" t="n">
        <v>0</v>
      </c>
      <c r="K42" s="18" t="n">
        <f aca="false">IF(I42=0,0,I42+J42)</f>
        <v>1</v>
      </c>
      <c r="L42" s="18" t="n">
        <f aca="false">INDEX(Prix!$E$5:$E$79,MATCH($A42,Prix!$A$5:$A$79,0))</f>
        <v>1</v>
      </c>
      <c r="M42" s="18" t="n">
        <f aca="false">IF(K42=0,0,ROUNDUP(K42/L42,0))</f>
        <v>1</v>
      </c>
      <c r="N42" s="23" t="n">
        <f aca="false">IF(INDEX(Prix!$D$5:$D$79,MATCH($A42,Prix!$A$5:$A$79,0))="","",INDEX(Prix!$D$5:$D$79,MATCH($A42,Prix!$A$5:$A$79,0)))</f>
        <v>4</v>
      </c>
      <c r="O42" s="23" t="n">
        <f aca="false">IF(N42="","",M42*N42)</f>
        <v>4</v>
      </c>
      <c r="P42" s="18" t="str">
        <f aca="false">INDEX(Prix!$C$5:$C$79,MATCH($A42,Prix!$A$5:$A$79,0))</f>
        <v>Moussasoft</v>
      </c>
      <c r="Q42" s="18" t="str">
        <f aca="false">INDEX(Prix!$H$5:$H$79,MATCH($A42,Prix!$A$5:$A$79,0))</f>
        <v>Maroc</v>
      </c>
      <c r="R42" s="19" t="s">
        <v>136</v>
      </c>
      <c r="S42" s="24" t="s">
        <v>60</v>
      </c>
    </row>
    <row r="43" customFormat="false" ht="23.85" hidden="false" customHeight="false" outlineLevel="0" collapsed="false">
      <c r="A43" s="17" t="s">
        <v>137</v>
      </c>
      <c r="B43" s="18" t="s">
        <v>128</v>
      </c>
      <c r="C43" s="19" t="s">
        <v>138</v>
      </c>
      <c r="D43" s="18" t="s">
        <v>58</v>
      </c>
      <c r="E43" s="20" t="n">
        <f aca="false">SUMIFS(msp1!$F:$F,msp1!$A:$A,$A43,msp1!$G:$G,$D43)</f>
        <v>0</v>
      </c>
      <c r="F43" s="20" t="n">
        <f aca="false">SUMIFS(n3pp!$F:$F,n3pp!$A:$A,$A43,n3pp!$G:$G,$D43)</f>
        <v>0</v>
      </c>
      <c r="G43" s="20" t="n">
        <f aca="false">SUMIFS('ffp5cs 230V'!$F:$F,'ffp5cs 230V'!$A:$A,$A43,'ffp5cs 230V'!$G:$G,$D43)</f>
        <v>3</v>
      </c>
      <c r="H43" s="20" t="n">
        <f aca="false">SUMIFS('ffp5cs 12V'!$F:$F,'ffp5cs 12V'!$A:$A,$A43,'ffp5cs 12V'!$G:$G,$D43)</f>
        <v>0</v>
      </c>
      <c r="I43" s="21" t="n">
        <f aca="false">SUM(E43:H43)</f>
        <v>3</v>
      </c>
      <c r="J43" s="22" t="n">
        <v>0</v>
      </c>
      <c r="K43" s="18" t="n">
        <f aca="false">IF(I43=0,0,I43+J43)</f>
        <v>3</v>
      </c>
      <c r="L43" s="18" t="n">
        <f aca="false">INDEX(Prix!$E$5:$E$79,MATCH($A43,Prix!$A$5:$A$79,0))</f>
        <v>1</v>
      </c>
      <c r="M43" s="18" t="n">
        <f aca="false">IF(K43=0,0,ROUNDUP(K43/L43,0))</f>
        <v>3</v>
      </c>
      <c r="N43" s="23" t="n">
        <f aca="false">IF(INDEX(Prix!$D$5:$D$79,MATCH($A43,Prix!$A$5:$A$79,0))="","",INDEX(Prix!$D$5:$D$79,MATCH($A43,Prix!$A$5:$A$79,0)))</f>
        <v>0.5</v>
      </c>
      <c r="O43" s="23" t="n">
        <f aca="false">IF(N43="","",M43*N43)</f>
        <v>1.5</v>
      </c>
      <c r="P43" s="18" t="str">
        <f aca="false">INDEX(Prix!$C$5:$C$79,MATCH($A43,Prix!$A$5:$A$79,0))</f>
        <v>Megma</v>
      </c>
      <c r="Q43" s="18" t="str">
        <f aca="false">INDEX(Prix!$H$5:$H$79,MATCH($A43,Prix!$A$5:$A$79,0))</f>
        <v>Maroc</v>
      </c>
      <c r="R43" s="19" t="s">
        <v>139</v>
      </c>
      <c r="S43" s="24" t="s">
        <v>60</v>
      </c>
    </row>
    <row r="44" customFormat="false" ht="23.85" hidden="false" customHeight="false" outlineLevel="0" collapsed="false">
      <c r="A44" s="17" t="s">
        <v>140</v>
      </c>
      <c r="B44" s="18" t="s">
        <v>128</v>
      </c>
      <c r="C44" s="19" t="s">
        <v>141</v>
      </c>
      <c r="D44" s="18" t="s">
        <v>58</v>
      </c>
      <c r="E44" s="20" t="n">
        <f aca="false">SUMIFS(msp1!$F:$F,msp1!$A:$A,$A44,msp1!$G:$G,$D44)</f>
        <v>0</v>
      </c>
      <c r="F44" s="20" t="n">
        <f aca="false">SUMIFS(n3pp!$F:$F,n3pp!$A:$A,$A44,n3pp!$G:$G,$D44)</f>
        <v>0</v>
      </c>
      <c r="G44" s="20" t="n">
        <f aca="false">SUMIFS('ffp5cs 230V'!$F:$F,'ffp5cs 230V'!$A:$A,$A44,'ffp5cs 230V'!$G:$G,$D44)</f>
        <v>1</v>
      </c>
      <c r="H44" s="20" t="n">
        <f aca="false">SUMIFS('ffp5cs 12V'!$F:$F,'ffp5cs 12V'!$A:$A,$A44,'ffp5cs 12V'!$G:$G,$D44)</f>
        <v>0</v>
      </c>
      <c r="I44" s="21" t="n">
        <f aca="false">SUM(E44:H44)</f>
        <v>1</v>
      </c>
      <c r="J44" s="22" t="n">
        <v>0</v>
      </c>
      <c r="K44" s="18" t="n">
        <f aca="false">IF(I44=0,0,I44+J44)</f>
        <v>1</v>
      </c>
      <c r="L44" s="18" t="n">
        <f aca="false">INDEX(Prix!$E$5:$E$79,MATCH($A44,Prix!$A$5:$A$79,0))</f>
        <v>1</v>
      </c>
      <c r="M44" s="18" t="n">
        <f aca="false">IF(K44=0,0,ROUNDUP(K44/L44,0))</f>
        <v>1</v>
      </c>
      <c r="N44" s="23" t="n">
        <f aca="false">IF(INDEX(Prix!$D$5:$D$79,MATCH($A44,Prix!$A$5:$A$79,0))="","",INDEX(Prix!$D$5:$D$79,MATCH($A44,Prix!$A$5:$A$79,0)))</f>
        <v>90</v>
      </c>
      <c r="O44" s="23" t="n">
        <f aca="false">IF(N44="","",M44*N44)</f>
        <v>90</v>
      </c>
      <c r="P44" s="18" t="str">
        <f aca="false">INDEX(Prix!$C$5:$C$79,MATCH($A44,Prix!$A$5:$A$79,0))</f>
        <v>Shop4Makers</v>
      </c>
      <c r="Q44" s="18" t="str">
        <f aca="false">INDEX(Prix!$H$5:$H$79,MATCH($A44,Prix!$A$5:$A$79,0))</f>
        <v>Maroc</v>
      </c>
      <c r="R44" s="19" t="s">
        <v>142</v>
      </c>
      <c r="S44" s="24" t="s">
        <v>60</v>
      </c>
    </row>
    <row r="45" customFormat="false" ht="23.85" hidden="false" customHeight="false" outlineLevel="0" collapsed="false">
      <c r="A45" s="25" t="s">
        <v>143</v>
      </c>
      <c r="B45" s="26" t="s">
        <v>144</v>
      </c>
      <c r="C45" s="27" t="s">
        <v>145</v>
      </c>
      <c r="D45" s="26" t="s">
        <v>58</v>
      </c>
      <c r="E45" s="28" t="n">
        <f aca="false">SUMIFS(msp1!$F:$F,msp1!$A:$A,$A45,msp1!$G:$G,$D45)</f>
        <v>5</v>
      </c>
      <c r="F45" s="28" t="n">
        <f aca="false">SUMIFS(n3pp!$F:$F,n3pp!$A:$A,$A45,n3pp!$G:$G,$D45)</f>
        <v>5</v>
      </c>
      <c r="G45" s="28" t="n">
        <f aca="false">SUMIFS('ffp5cs 230V'!$F:$F,'ffp5cs 230V'!$A:$A,$A45,'ffp5cs 230V'!$G:$G,$D45)</f>
        <v>5</v>
      </c>
      <c r="H45" s="28" t="n">
        <f aca="false">SUMIFS('ffp5cs 12V'!$F:$F,'ffp5cs 12V'!$A:$A,$A45,'ffp5cs 12V'!$G:$G,$D45)</f>
        <v>8</v>
      </c>
      <c r="I45" s="29" t="n">
        <f aca="false">SUM(E45:H45)</f>
        <v>23</v>
      </c>
      <c r="J45" s="30" t="n">
        <v>3</v>
      </c>
      <c r="K45" s="26" t="n">
        <f aca="false">IF(I45=0,0,I45+J45)</f>
        <v>26</v>
      </c>
      <c r="L45" s="26" t="n">
        <f aca="false">INDEX(Prix!$E$5:$E$79,MATCH($A45,Prix!$A$5:$A$79,0))</f>
        <v>1</v>
      </c>
      <c r="M45" s="26" t="n">
        <f aca="false">IF(K45=0,0,ROUNDUP(K45/L45,0))</f>
        <v>26</v>
      </c>
      <c r="N45" s="31" t="n">
        <f aca="false">IF(INDEX(Prix!$D$5:$D$79,MATCH($A45,Prix!$A$5:$A$79,0))="","",INDEX(Prix!$D$5:$D$79,MATCH($A45,Prix!$A$5:$A$79,0)))</f>
        <v>2</v>
      </c>
      <c r="O45" s="31" t="n">
        <f aca="false">IF(N45="","",M45*N45)</f>
        <v>52</v>
      </c>
      <c r="P45" s="26" t="str">
        <f aca="false">INDEX(Prix!$C$5:$C$79,MATCH($A45,Prix!$A$5:$A$79,0))</f>
        <v>MicroPlanet</v>
      </c>
      <c r="Q45" s="26" t="str">
        <f aca="false">INDEX(Prix!$H$5:$H$79,MATCH($A45,Prix!$A$5:$A$79,0))</f>
        <v>Maroc</v>
      </c>
      <c r="R45" s="27" t="s">
        <v>146</v>
      </c>
      <c r="S45" s="32" t="s">
        <v>60</v>
      </c>
    </row>
    <row r="46" customFormat="false" ht="15" hidden="false" customHeight="false" outlineLevel="0" collapsed="false">
      <c r="A46" s="25" t="s">
        <v>147</v>
      </c>
      <c r="B46" s="26" t="s">
        <v>144</v>
      </c>
      <c r="C46" s="27" t="s">
        <v>148</v>
      </c>
      <c r="D46" s="26" t="s">
        <v>58</v>
      </c>
      <c r="E46" s="28" t="n">
        <f aca="false">SUMIFS(msp1!$F:$F,msp1!$A:$A,$A46,msp1!$G:$G,$D46)</f>
        <v>8</v>
      </c>
      <c r="F46" s="28" t="n">
        <f aca="false">SUMIFS(n3pp!$F:$F,n3pp!$A:$A,$A46,n3pp!$G:$G,$D46)</f>
        <v>6</v>
      </c>
      <c r="G46" s="28" t="n">
        <f aca="false">SUMIFS('ffp5cs 230V'!$F:$F,'ffp5cs 230V'!$A:$A,$A46,'ffp5cs 230V'!$G:$G,$D46)</f>
        <v>8</v>
      </c>
      <c r="H46" s="28" t="n">
        <f aca="false">SUMIFS('ffp5cs 12V'!$F:$F,'ffp5cs 12V'!$A:$A,$A46,'ffp5cs 12V'!$G:$G,$D46)</f>
        <v>8</v>
      </c>
      <c r="I46" s="29" t="n">
        <f aca="false">SUM(E46:H46)</f>
        <v>30</v>
      </c>
      <c r="J46" s="30" t="n">
        <v>3</v>
      </c>
      <c r="K46" s="26" t="n">
        <f aca="false">IF(I46=0,0,I46+J46)</f>
        <v>33</v>
      </c>
      <c r="L46" s="26" t="n">
        <f aca="false">INDEX(Prix!$E$5:$E$79,MATCH($A46,Prix!$A$5:$A$79,0))</f>
        <v>1</v>
      </c>
      <c r="M46" s="26" t="n">
        <f aca="false">IF(K46=0,0,ROUNDUP(K46/L46,0))</f>
        <v>33</v>
      </c>
      <c r="N46" s="31" t="n">
        <f aca="false">IF(INDEX(Prix!$D$5:$D$79,MATCH($A46,Prix!$A$5:$A$79,0))="","",INDEX(Prix!$D$5:$D$79,MATCH($A46,Prix!$A$5:$A$79,0)))</f>
        <v>3</v>
      </c>
      <c r="O46" s="31" t="n">
        <f aca="false">IF(N46="","",M46*N46)</f>
        <v>99</v>
      </c>
      <c r="P46" s="26" t="str">
        <f aca="false">INDEX(Prix!$C$5:$C$79,MATCH($A46,Prix!$A$5:$A$79,0))</f>
        <v>MicroPlanet</v>
      </c>
      <c r="Q46" s="26" t="str">
        <f aca="false">INDEX(Prix!$H$5:$H$79,MATCH($A46,Prix!$A$5:$A$79,0))</f>
        <v>Maroc</v>
      </c>
      <c r="R46" s="27" t="s">
        <v>149</v>
      </c>
      <c r="S46" s="32" t="s">
        <v>60</v>
      </c>
    </row>
    <row r="47" customFormat="false" ht="23.85" hidden="false" customHeight="false" outlineLevel="0" collapsed="false">
      <c r="A47" s="25" t="s">
        <v>150</v>
      </c>
      <c r="B47" s="26" t="s">
        <v>144</v>
      </c>
      <c r="C47" s="27" t="s">
        <v>151</v>
      </c>
      <c r="D47" s="26" t="s">
        <v>58</v>
      </c>
      <c r="E47" s="28" t="n">
        <f aca="false">SUMIFS(msp1!$F:$F,msp1!$A:$A,$A47,msp1!$G:$G,$D47)</f>
        <v>0</v>
      </c>
      <c r="F47" s="28" t="n">
        <f aca="false">SUMIFS(n3pp!$F:$F,n3pp!$A:$A,$A47,n3pp!$G:$G,$D47)</f>
        <v>0</v>
      </c>
      <c r="G47" s="28" t="n">
        <f aca="false">SUMIFS('ffp5cs 230V'!$F:$F,'ffp5cs 230V'!$A:$A,$A47,'ffp5cs 230V'!$G:$G,$D47)</f>
        <v>3</v>
      </c>
      <c r="H47" s="28" t="n">
        <f aca="false">SUMIFS('ffp5cs 12V'!$F:$F,'ffp5cs 12V'!$A:$A,$A47,'ffp5cs 12V'!$G:$G,$D47)</f>
        <v>3</v>
      </c>
      <c r="I47" s="29" t="n">
        <f aca="false">SUM(E47:H47)</f>
        <v>6</v>
      </c>
      <c r="J47" s="30" t="n">
        <v>1</v>
      </c>
      <c r="K47" s="26" t="n">
        <f aca="false">IF(I47=0,0,I47+J47)</f>
        <v>7</v>
      </c>
      <c r="L47" s="26" t="n">
        <f aca="false">INDEX(Prix!$E$5:$E$79,MATCH($A47,Prix!$A$5:$A$79,0))</f>
        <v>1</v>
      </c>
      <c r="M47" s="26" t="n">
        <f aca="false">IF(K47=0,0,ROUNDUP(K47/L47,0))</f>
        <v>7</v>
      </c>
      <c r="N47" s="31" t="n">
        <f aca="false">IF(INDEX(Prix!$D$5:$D$79,MATCH($A47,Prix!$A$5:$A$79,0))="","",INDEX(Prix!$D$5:$D$79,MATCH($A47,Prix!$A$5:$A$79,0)))</f>
        <v>5</v>
      </c>
      <c r="O47" s="31" t="n">
        <f aca="false">IF(N47="","",M47*N47)</f>
        <v>35</v>
      </c>
      <c r="P47" s="26" t="str">
        <f aca="false">INDEX(Prix!$C$5:$C$79,MATCH($A47,Prix!$A$5:$A$79,0))</f>
        <v>MicroPlanet</v>
      </c>
      <c r="Q47" s="26" t="str">
        <f aca="false">INDEX(Prix!$H$5:$H$79,MATCH($A47,Prix!$A$5:$A$79,0))</f>
        <v>Maroc</v>
      </c>
      <c r="R47" s="27" t="s">
        <v>152</v>
      </c>
      <c r="S47" s="32" t="s">
        <v>60</v>
      </c>
    </row>
    <row r="48" customFormat="false" ht="15" hidden="false" customHeight="false" outlineLevel="0" collapsed="false">
      <c r="A48" s="25" t="s">
        <v>153</v>
      </c>
      <c r="B48" s="26" t="s">
        <v>144</v>
      </c>
      <c r="C48" s="27" t="s">
        <v>154</v>
      </c>
      <c r="D48" s="26" t="s">
        <v>58</v>
      </c>
      <c r="E48" s="28" t="n">
        <f aca="false">SUMIFS(msp1!$F:$F,msp1!$A:$A,$A48,msp1!$G:$G,$D48)</f>
        <v>2</v>
      </c>
      <c r="F48" s="28" t="n">
        <f aca="false">SUMIFS(n3pp!$F:$F,n3pp!$A:$A,$A48,n3pp!$G:$G,$D48)</f>
        <v>2</v>
      </c>
      <c r="G48" s="28" t="n">
        <f aca="false">SUMIFS('ffp5cs 230V'!$F:$F,'ffp5cs 230V'!$A:$A,$A48,'ffp5cs 230V'!$G:$G,$D48)</f>
        <v>2</v>
      </c>
      <c r="H48" s="28" t="n">
        <f aca="false">SUMIFS('ffp5cs 12V'!$F:$F,'ffp5cs 12V'!$A:$A,$A48,'ffp5cs 12V'!$G:$G,$D48)</f>
        <v>2</v>
      </c>
      <c r="I48" s="29" t="n">
        <f aca="false">SUM(E48:H48)</f>
        <v>8</v>
      </c>
      <c r="J48" s="30" t="n">
        <v>1</v>
      </c>
      <c r="K48" s="26" t="n">
        <f aca="false">IF(I48=0,0,I48+J48)</f>
        <v>9</v>
      </c>
      <c r="L48" s="26" t="n">
        <f aca="false">INDEX(Prix!$E$5:$E$79,MATCH($A48,Prix!$A$5:$A$79,0))</f>
        <v>1</v>
      </c>
      <c r="M48" s="26" t="n">
        <f aca="false">IF(K48=0,0,ROUNDUP(K48/L48,0))</f>
        <v>9</v>
      </c>
      <c r="N48" s="31" t="n">
        <f aca="false">IF(INDEX(Prix!$D$5:$D$79,MATCH($A48,Prix!$A$5:$A$79,0))="","",INDEX(Prix!$D$5:$D$79,MATCH($A48,Prix!$A$5:$A$79,0)))</f>
        <v>5</v>
      </c>
      <c r="O48" s="31" t="n">
        <f aca="false">IF(N48="","",M48*N48)</f>
        <v>45</v>
      </c>
      <c r="P48" s="26" t="str">
        <f aca="false">INDEX(Prix!$C$5:$C$79,MATCH($A48,Prix!$A$5:$A$79,0))</f>
        <v>Moussasoft</v>
      </c>
      <c r="Q48" s="26" t="str">
        <f aca="false">INDEX(Prix!$H$5:$H$79,MATCH($A48,Prix!$A$5:$A$79,0))</f>
        <v>Maroc</v>
      </c>
      <c r="R48" s="27" t="s">
        <v>155</v>
      </c>
      <c r="S48" s="32" t="s">
        <v>60</v>
      </c>
    </row>
    <row r="49" customFormat="false" ht="15" hidden="false" customHeight="false" outlineLevel="0" collapsed="false">
      <c r="A49" s="25" t="s">
        <v>156</v>
      </c>
      <c r="B49" s="26" t="s">
        <v>144</v>
      </c>
      <c r="C49" s="27" t="s">
        <v>157</v>
      </c>
      <c r="D49" s="26" t="s">
        <v>58</v>
      </c>
      <c r="E49" s="28" t="n">
        <f aca="false">SUMIFS(msp1!$F:$F,msp1!$A:$A,$A49,msp1!$G:$G,$D49)</f>
        <v>2</v>
      </c>
      <c r="F49" s="28" t="n">
        <f aca="false">SUMIFS(n3pp!$F:$F,n3pp!$A:$A,$A49,n3pp!$G:$G,$D49)</f>
        <v>2</v>
      </c>
      <c r="G49" s="28" t="n">
        <f aca="false">SUMIFS('ffp5cs 230V'!$F:$F,'ffp5cs 230V'!$A:$A,$A49,'ffp5cs 230V'!$G:$G,$D49)</f>
        <v>2</v>
      </c>
      <c r="H49" s="28" t="n">
        <f aca="false">SUMIFS('ffp5cs 12V'!$F:$F,'ffp5cs 12V'!$A:$A,$A49,'ffp5cs 12V'!$G:$G,$D49)</f>
        <v>2</v>
      </c>
      <c r="I49" s="29" t="n">
        <f aca="false">SUM(E49:H49)</f>
        <v>8</v>
      </c>
      <c r="J49" s="30" t="n">
        <v>1</v>
      </c>
      <c r="K49" s="26" t="n">
        <f aca="false">IF(I49=0,0,I49+J49)</f>
        <v>9</v>
      </c>
      <c r="L49" s="26" t="n">
        <f aca="false">INDEX(Prix!$E$5:$E$79,MATCH($A49,Prix!$A$5:$A$79,0))</f>
        <v>1</v>
      </c>
      <c r="M49" s="26" t="n">
        <f aca="false">IF(K49=0,0,ROUNDUP(K49/L49,0))</f>
        <v>9</v>
      </c>
      <c r="N49" s="31" t="n">
        <f aca="false">IF(INDEX(Prix!$D$5:$D$79,MATCH($A49,Prix!$A$5:$A$79,0))="","",INDEX(Prix!$D$5:$D$79,MATCH($A49,Prix!$A$5:$A$79,0)))</f>
        <v>4</v>
      </c>
      <c r="O49" s="31" t="n">
        <f aca="false">IF(N49="","",M49*N49)</f>
        <v>36</v>
      </c>
      <c r="P49" s="26" t="str">
        <f aca="false">INDEX(Prix!$C$5:$C$79,MATCH($A49,Prix!$A$5:$A$79,0))</f>
        <v>Moussasoft</v>
      </c>
      <c r="Q49" s="26" t="str">
        <f aca="false">INDEX(Prix!$H$5:$H$79,MATCH($A49,Prix!$A$5:$A$79,0))</f>
        <v>Maroc</v>
      </c>
      <c r="R49" s="27"/>
      <c r="S49" s="32" t="s">
        <v>60</v>
      </c>
    </row>
    <row r="50" customFormat="false" ht="15" hidden="false" customHeight="false" outlineLevel="0" collapsed="false">
      <c r="A50" s="25" t="s">
        <v>158</v>
      </c>
      <c r="B50" s="26" t="s">
        <v>144</v>
      </c>
      <c r="C50" s="27" t="s">
        <v>159</v>
      </c>
      <c r="D50" s="26" t="s">
        <v>58</v>
      </c>
      <c r="E50" s="28" t="n">
        <f aca="false">SUMIFS(msp1!$F:$F,msp1!$A:$A,$A50,msp1!$G:$G,$D50)</f>
        <v>9</v>
      </c>
      <c r="F50" s="28" t="n">
        <f aca="false">SUMIFS(n3pp!$F:$F,n3pp!$A:$A,$A50,n3pp!$G:$G,$D50)</f>
        <v>5</v>
      </c>
      <c r="G50" s="28" t="n">
        <f aca="false">SUMIFS('ffp5cs 230V'!$F:$F,'ffp5cs 230V'!$A:$A,$A50,'ffp5cs 230V'!$G:$G,$D50)</f>
        <v>7</v>
      </c>
      <c r="H50" s="28" t="n">
        <f aca="false">SUMIFS('ffp5cs 12V'!$F:$F,'ffp5cs 12V'!$A:$A,$A50,'ffp5cs 12V'!$G:$G,$D50)</f>
        <v>8</v>
      </c>
      <c r="I50" s="29" t="n">
        <f aca="false">SUM(E50:H50)</f>
        <v>29</v>
      </c>
      <c r="J50" s="30" t="n">
        <v>5</v>
      </c>
      <c r="K50" s="26" t="n">
        <f aca="false">IF(I50=0,0,I50+J50)</f>
        <v>34</v>
      </c>
      <c r="L50" s="26" t="n">
        <f aca="false">INDEX(Prix!$E$5:$E$79,MATCH($A50,Prix!$A$5:$A$79,0))</f>
        <v>10</v>
      </c>
      <c r="M50" s="26" t="n">
        <f aca="false">IF(K50=0,0,ROUNDUP(K50/L50,0))</f>
        <v>4</v>
      </c>
      <c r="N50" s="31" t="n">
        <f aca="false">IF(INDEX(Prix!$D$5:$D$79,MATCH($A50,Prix!$A$5:$A$79,0))="","",INDEX(Prix!$D$5:$D$79,MATCH($A50,Prix!$A$5:$A$79,0)))</f>
        <v>5</v>
      </c>
      <c r="O50" s="31" t="n">
        <f aca="false">IF(N50="","",M50*N50)</f>
        <v>20</v>
      </c>
      <c r="P50" s="26" t="str">
        <f aca="false">INDEX(Prix!$C$5:$C$79,MATCH($A50,Prix!$A$5:$A$79,0))</f>
        <v>Shop4Makers</v>
      </c>
      <c r="Q50" s="26" t="str">
        <f aca="false">INDEX(Prix!$H$5:$H$79,MATCH($A50,Prix!$A$5:$A$79,0))</f>
        <v>Maroc</v>
      </c>
      <c r="R50" s="27" t="s">
        <v>160</v>
      </c>
      <c r="S50" s="32" t="s">
        <v>60</v>
      </c>
    </row>
    <row r="51" customFormat="false" ht="23.85" hidden="false" customHeight="false" outlineLevel="0" collapsed="false">
      <c r="A51" s="25" t="s">
        <v>161</v>
      </c>
      <c r="B51" s="26" t="s">
        <v>144</v>
      </c>
      <c r="C51" s="27" t="s">
        <v>162</v>
      </c>
      <c r="D51" s="26" t="s">
        <v>58</v>
      </c>
      <c r="E51" s="28" t="n">
        <f aca="false">SUMIFS(msp1!$F:$F,msp1!$A:$A,$A51,msp1!$G:$G,$D51)</f>
        <v>0</v>
      </c>
      <c r="F51" s="28" t="n">
        <f aca="false">SUMIFS(n3pp!$F:$F,n3pp!$A:$A,$A51,n3pp!$G:$G,$D51)</f>
        <v>1</v>
      </c>
      <c r="G51" s="28" t="n">
        <f aca="false">SUMIFS('ffp5cs 230V'!$F:$F,'ffp5cs 230V'!$A:$A,$A51,'ffp5cs 230V'!$G:$G,$D51)</f>
        <v>0</v>
      </c>
      <c r="H51" s="28" t="n">
        <f aca="false">SUMIFS('ffp5cs 12V'!$F:$F,'ffp5cs 12V'!$A:$A,$A51,'ffp5cs 12V'!$G:$G,$D51)</f>
        <v>0</v>
      </c>
      <c r="I51" s="29" t="n">
        <f aca="false">SUM(E51:H51)</f>
        <v>1</v>
      </c>
      <c r="J51" s="30" t="n">
        <v>0</v>
      </c>
      <c r="K51" s="26" t="n">
        <f aca="false">IF(I51=0,0,I51+J51)</f>
        <v>1</v>
      </c>
      <c r="L51" s="26" t="n">
        <f aca="false">INDEX(Prix!$E$5:$E$79,MATCH($A51,Prix!$A$5:$A$79,0))</f>
        <v>1</v>
      </c>
      <c r="M51" s="26" t="n">
        <f aca="false">IF(K51=0,0,ROUNDUP(K51/L51,0))</f>
        <v>1</v>
      </c>
      <c r="N51" s="31" t="n">
        <f aca="false">IF(INDEX(Prix!$D$5:$D$79,MATCH($A51,Prix!$A$5:$A$79,0))="","",INDEX(Prix!$D$5:$D$79,MATCH($A51,Prix!$A$5:$A$79,0)))</f>
        <v>4</v>
      </c>
      <c r="O51" s="31" t="n">
        <f aca="false">IF(N51="","",M51*N51)</f>
        <v>4</v>
      </c>
      <c r="P51" s="26" t="str">
        <f aca="false">INDEX(Prix!$C$5:$C$79,MATCH($A51,Prix!$A$5:$A$79,0))</f>
        <v>ShoppingMaroc</v>
      </c>
      <c r="Q51" s="26" t="str">
        <f aca="false">INDEX(Prix!$H$5:$H$79,MATCH($A51,Prix!$A$5:$A$79,0))</f>
        <v>Maroc</v>
      </c>
      <c r="R51" s="27" t="s">
        <v>163</v>
      </c>
      <c r="S51" s="32" t="s">
        <v>60</v>
      </c>
    </row>
    <row r="52" customFormat="false" ht="23.85" hidden="false" customHeight="false" outlineLevel="0" collapsed="false">
      <c r="A52" s="25" t="s">
        <v>164</v>
      </c>
      <c r="B52" s="26" t="s">
        <v>144</v>
      </c>
      <c r="C52" s="27" t="s">
        <v>165</v>
      </c>
      <c r="D52" s="26" t="s">
        <v>58</v>
      </c>
      <c r="E52" s="28" t="n">
        <f aca="false">SUMIFS(msp1!$F:$F,msp1!$A:$A,$A52,msp1!$G:$G,$D52)</f>
        <v>1</v>
      </c>
      <c r="F52" s="28" t="n">
        <f aca="false">SUMIFS(n3pp!$F:$F,n3pp!$A:$A,$A52,n3pp!$G:$G,$D52)</f>
        <v>1</v>
      </c>
      <c r="G52" s="28" t="n">
        <f aca="false">SUMIFS('ffp5cs 230V'!$F:$F,'ffp5cs 230V'!$A:$A,$A52,'ffp5cs 230V'!$G:$G,$D52)</f>
        <v>1</v>
      </c>
      <c r="H52" s="28" t="n">
        <f aca="false">SUMIFS('ffp5cs 12V'!$F:$F,'ffp5cs 12V'!$A:$A,$A52,'ffp5cs 12V'!$G:$G,$D52)</f>
        <v>1</v>
      </c>
      <c r="I52" s="29" t="n">
        <f aca="false">SUM(E52:H52)</f>
        <v>4</v>
      </c>
      <c r="J52" s="30" t="n">
        <v>0</v>
      </c>
      <c r="K52" s="26" t="n">
        <f aca="false">IF(I52=0,0,I52+J52)</f>
        <v>4</v>
      </c>
      <c r="L52" s="26" t="n">
        <f aca="false">INDEX(Prix!$E$5:$E$79,MATCH($A52,Prix!$A$5:$A$79,0))</f>
        <v>1</v>
      </c>
      <c r="M52" s="26" t="n">
        <f aca="false">IF(K52=0,0,ROUNDUP(K52/L52,0))</f>
        <v>4</v>
      </c>
      <c r="N52" s="31" t="n">
        <f aca="false">IF(INDEX(Prix!$D$5:$D$79,MATCH($A52,Prix!$A$5:$A$79,0))="","",INDEX(Prix!$D$5:$D$79,MATCH($A52,Prix!$A$5:$A$79,0)))</f>
        <v>0</v>
      </c>
      <c r="O52" s="31" t="n">
        <f aca="false">IF(N52="","",M52*N52)</f>
        <v>0</v>
      </c>
      <c r="P52" s="26" t="str">
        <f aca="false">INDEX(Prix!$C$5:$C$79,MATCH($A52,Prix!$A$5:$A$79,0))</f>
        <v>—</v>
      </c>
      <c r="Q52" s="26" t="str">
        <f aca="false">INDEX(Prix!$H$5:$H$79,MATCH($A52,Prix!$A$5:$A$79,0))</f>
        <v>Maroc</v>
      </c>
      <c r="R52" s="27" t="s">
        <v>166</v>
      </c>
      <c r="S52" s="26"/>
    </row>
    <row r="53" customFormat="false" ht="23.85" hidden="false" customHeight="false" outlineLevel="0" collapsed="false">
      <c r="A53" s="25" t="s">
        <v>167</v>
      </c>
      <c r="B53" s="26" t="s">
        <v>144</v>
      </c>
      <c r="C53" s="27" t="s">
        <v>168</v>
      </c>
      <c r="D53" s="26" t="s">
        <v>58</v>
      </c>
      <c r="E53" s="28" t="n">
        <f aca="false">SUMIFS(msp1!$F:$F,msp1!$A:$A,$A53,msp1!$G:$G,$D53)</f>
        <v>4</v>
      </c>
      <c r="F53" s="28" t="n">
        <f aca="false">SUMIFS(n3pp!$F:$F,n3pp!$A:$A,$A53,n3pp!$G:$G,$D53)</f>
        <v>4</v>
      </c>
      <c r="G53" s="28" t="n">
        <f aca="false">SUMIFS('ffp5cs 230V'!$F:$F,'ffp5cs 230V'!$A:$A,$A53,'ffp5cs 230V'!$G:$G,$D53)</f>
        <v>4</v>
      </c>
      <c r="H53" s="28" t="n">
        <f aca="false">SUMIFS('ffp5cs 12V'!$F:$F,'ffp5cs 12V'!$A:$A,$A53,'ffp5cs 12V'!$G:$G,$D53)</f>
        <v>4</v>
      </c>
      <c r="I53" s="29" t="n">
        <f aca="false">SUM(E53:H53)</f>
        <v>16</v>
      </c>
      <c r="J53" s="30" t="n">
        <v>0</v>
      </c>
      <c r="K53" s="26" t="n">
        <f aca="false">IF(I53=0,0,I53+J53)</f>
        <v>16</v>
      </c>
      <c r="L53" s="26" t="n">
        <f aca="false">INDEX(Prix!$E$5:$E$79,MATCH($A53,Prix!$A$5:$A$79,0))</f>
        <v>1</v>
      </c>
      <c r="M53" s="26" t="n">
        <f aca="false">IF(K53=0,0,ROUNDUP(K53/L53,0))</f>
        <v>16</v>
      </c>
      <c r="N53" s="31" t="n">
        <f aca="false">IF(INDEX(Prix!$D$5:$D$79,MATCH($A53,Prix!$A$5:$A$79,0))="","",INDEX(Prix!$D$5:$D$79,MATCH($A53,Prix!$A$5:$A$79,0)))</f>
        <v>0</v>
      </c>
      <c r="O53" s="31" t="n">
        <f aca="false">IF(N53="","",M53*N53)</f>
        <v>0</v>
      </c>
      <c r="P53" s="26" t="str">
        <f aca="false">INDEX(Prix!$C$5:$C$79,MATCH($A53,Prix!$A$5:$A$79,0))</f>
        <v>—</v>
      </c>
      <c r="Q53" s="26" t="str">
        <f aca="false">INDEX(Prix!$H$5:$H$79,MATCH($A53,Prix!$A$5:$A$79,0))</f>
        <v>Maroc</v>
      </c>
      <c r="R53" s="27" t="s">
        <v>169</v>
      </c>
      <c r="S53" s="26"/>
    </row>
    <row r="54" customFormat="false" ht="23.85" hidden="false" customHeight="false" outlineLevel="0" collapsed="false">
      <c r="A54" s="17" t="s">
        <v>170</v>
      </c>
      <c r="B54" s="18" t="s">
        <v>171</v>
      </c>
      <c r="C54" s="19" t="s">
        <v>172</v>
      </c>
      <c r="D54" s="18" t="s">
        <v>58</v>
      </c>
      <c r="E54" s="20" t="n">
        <f aca="false">SUMIFS(msp1!$F:$F,msp1!$A:$A,$A54,msp1!$G:$G,$D54)</f>
        <v>2</v>
      </c>
      <c r="F54" s="20" t="n">
        <f aca="false">SUMIFS(n3pp!$F:$F,n3pp!$A:$A,$A54,n3pp!$G:$G,$D54)</f>
        <v>1</v>
      </c>
      <c r="G54" s="20" t="n">
        <f aca="false">SUMIFS('ffp5cs 230V'!$F:$F,'ffp5cs 230V'!$A:$A,$A54,'ffp5cs 230V'!$G:$G,$D54)</f>
        <v>1</v>
      </c>
      <c r="H54" s="20" t="n">
        <f aca="false">SUMIFS('ffp5cs 12V'!$F:$F,'ffp5cs 12V'!$A:$A,$A54,'ffp5cs 12V'!$G:$G,$D54)</f>
        <v>1</v>
      </c>
      <c r="I54" s="21" t="n">
        <f aca="false">SUM(E54:H54)</f>
        <v>5</v>
      </c>
      <c r="J54" s="22" t="n">
        <v>1</v>
      </c>
      <c r="K54" s="18" t="n">
        <f aca="false">IF(I54=0,0,I54+J54)</f>
        <v>6</v>
      </c>
      <c r="L54" s="18" t="n">
        <f aca="false">INDEX(Prix!$E$5:$E$79,MATCH($A54,Prix!$A$5:$A$79,0))</f>
        <v>1</v>
      </c>
      <c r="M54" s="18" t="n">
        <f aca="false">IF(K54=0,0,ROUNDUP(K54/L54,0))</f>
        <v>6</v>
      </c>
      <c r="N54" s="23" t="n">
        <f aca="false">IF(INDEX(Prix!$D$5:$D$79,MATCH($A54,Prix!$A$5:$A$79,0))="","",INDEX(Prix!$D$5:$D$79,MATCH($A54,Prix!$A$5:$A$79,0)))</f>
        <v>16.2</v>
      </c>
      <c r="O54" s="23" t="n">
        <f aca="false">IF(N54="","",M54*N54)</f>
        <v>97.2</v>
      </c>
      <c r="P54" s="18" t="str">
        <f aca="false">INDEX(Prix!$C$5:$C$79,MATCH($A54,Prix!$A$5:$A$79,0))</f>
        <v>Shop4Makers</v>
      </c>
      <c r="Q54" s="18" t="str">
        <f aca="false">INDEX(Prix!$H$5:$H$79,MATCH($A54,Prix!$A$5:$A$79,0))</f>
        <v>Maroc</v>
      </c>
      <c r="R54" s="19" t="s">
        <v>173</v>
      </c>
      <c r="S54" s="24" t="s">
        <v>60</v>
      </c>
    </row>
    <row r="55" customFormat="false" ht="23.85" hidden="false" customHeight="false" outlineLevel="0" collapsed="false">
      <c r="A55" s="41" t="s">
        <v>174</v>
      </c>
      <c r="B55" s="42" t="s">
        <v>171</v>
      </c>
      <c r="C55" s="43" t="s">
        <v>175</v>
      </c>
      <c r="D55" s="42" t="s">
        <v>176</v>
      </c>
      <c r="E55" s="44" t="n">
        <f aca="false">SUMIFS(msp1!$F:$F,msp1!$A:$A,$A55,msp1!$G:$G,$D55)</f>
        <v>2</v>
      </c>
      <c r="F55" s="44" t="n">
        <f aca="false">SUMIFS(n3pp!$F:$F,n3pp!$A:$A,$A55,n3pp!$G:$G,$D55)</f>
        <v>1</v>
      </c>
      <c r="G55" s="44" t="n">
        <f aca="false">SUMIFS('ffp5cs 230V'!$F:$F,'ffp5cs 230V'!$A:$A,$A55,'ffp5cs 230V'!$G:$G,$D55)</f>
        <v>0</v>
      </c>
      <c r="H55" s="44" t="n">
        <f aca="false">SUMIFS('ffp5cs 12V'!$F:$F,'ffp5cs 12V'!$A:$A,$A55,'ffp5cs 12V'!$G:$G,$D55)</f>
        <v>0</v>
      </c>
      <c r="I55" s="45" t="n">
        <f aca="false">SUM(E55:H55)</f>
        <v>3</v>
      </c>
      <c r="J55" s="46" t="n">
        <v>0</v>
      </c>
      <c r="K55" s="42" t="n">
        <f aca="false">IF(I55=0,0,I55+J55)</f>
        <v>3</v>
      </c>
      <c r="L55" s="42" t="n">
        <f aca="false">INDEX(Prix!$E$5:$E$79,MATCH($A55,Prix!$A$5:$A$79,0))</f>
        <v>1</v>
      </c>
      <c r="M55" s="42" t="n">
        <f aca="false">IF(K55=0,0,ROUNDUP(K55/L55,0))</f>
        <v>3</v>
      </c>
      <c r="N55" s="47" t="n">
        <f aca="false">IF(INDEX(Prix!$D$5:$D$79,MATCH($A55,Prix!$A$5:$A$79,0))="","",INDEX(Prix!$D$5:$D$79,MATCH($A55,Prix!$A$5:$A$79,0)))</f>
        <v>85</v>
      </c>
      <c r="O55" s="47" t="n">
        <f aca="false">IF(N55="","",M55*N55)</f>
        <v>255</v>
      </c>
      <c r="P55" s="42" t="str">
        <f aca="false">INDEX(Prix!$C$5:$C$79,MATCH($A55,Prix!$A$5:$A$79,0))</f>
        <v>Shop4Makers</v>
      </c>
      <c r="Q55" s="42" t="str">
        <f aca="false">INDEX(Prix!$H$5:$H$79,MATCH($A55,Prix!$A$5:$A$79,0))</f>
        <v>Maroc</v>
      </c>
      <c r="R55" s="43" t="s">
        <v>177</v>
      </c>
      <c r="S55" s="48" t="s">
        <v>60</v>
      </c>
    </row>
    <row r="56" customFormat="false" ht="15" hidden="false" customHeight="false" outlineLevel="0" collapsed="false">
      <c r="A56" s="17" t="s">
        <v>178</v>
      </c>
      <c r="B56" s="18" t="s">
        <v>171</v>
      </c>
      <c r="C56" s="19" t="s">
        <v>179</v>
      </c>
      <c r="D56" s="18" t="s">
        <v>58</v>
      </c>
      <c r="E56" s="20" t="n">
        <f aca="false">SUMIFS(msp1!$F:$F,msp1!$A:$A,$A56,msp1!$G:$G,$D56)</f>
        <v>1</v>
      </c>
      <c r="F56" s="20" t="n">
        <f aca="false">SUMIFS(n3pp!$F:$F,n3pp!$A:$A,$A56,n3pp!$G:$G,$D56)</f>
        <v>0</v>
      </c>
      <c r="G56" s="20" t="n">
        <f aca="false">SUMIFS('ffp5cs 230V'!$F:$F,'ffp5cs 230V'!$A:$A,$A56,'ffp5cs 230V'!$G:$G,$D56)</f>
        <v>1</v>
      </c>
      <c r="H56" s="20" t="n">
        <f aca="false">SUMIFS('ffp5cs 12V'!$F:$F,'ffp5cs 12V'!$A:$A,$A56,'ffp5cs 12V'!$G:$G,$D56)</f>
        <v>1</v>
      </c>
      <c r="I56" s="21" t="n">
        <f aca="false">SUM(E56:H56)</f>
        <v>3</v>
      </c>
      <c r="J56" s="22" t="n">
        <v>0</v>
      </c>
      <c r="K56" s="18" t="n">
        <f aca="false">IF(I56=0,0,I56+J56)</f>
        <v>3</v>
      </c>
      <c r="L56" s="18" t="n">
        <f aca="false">INDEX(Prix!$E$5:$E$79,MATCH($A56,Prix!$A$5:$A$79,0))</f>
        <v>1</v>
      </c>
      <c r="M56" s="18" t="n">
        <f aca="false">IF(K56=0,0,ROUNDUP(K56/L56,0))</f>
        <v>3</v>
      </c>
      <c r="N56" s="23" t="n">
        <f aca="false">IF(INDEX(Prix!$D$5:$D$79,MATCH($A56,Prix!$A$5:$A$79,0))="","",INDEX(Prix!$D$5:$D$79,MATCH($A56,Prix!$A$5:$A$79,0)))</f>
        <v>50</v>
      </c>
      <c r="O56" s="23" t="n">
        <f aca="false">IF(N56="","",M56*N56)</f>
        <v>150</v>
      </c>
      <c r="P56" s="18" t="str">
        <f aca="false">INDEX(Prix!$C$5:$C$79,MATCH($A56,Prix!$A$5:$A$79,0))</f>
        <v>A2itronic</v>
      </c>
      <c r="Q56" s="18" t="str">
        <f aca="false">INDEX(Prix!$H$5:$H$79,MATCH($A56,Prix!$A$5:$A$79,0))</f>
        <v>Maroc</v>
      </c>
      <c r="R56" s="19" t="s">
        <v>180</v>
      </c>
      <c r="S56" s="24" t="s">
        <v>60</v>
      </c>
    </row>
    <row r="57" customFormat="false" ht="35.05" hidden="false" customHeight="false" outlineLevel="0" collapsed="false">
      <c r="A57" s="17" t="s">
        <v>181</v>
      </c>
      <c r="B57" s="18" t="s">
        <v>171</v>
      </c>
      <c r="C57" s="19" t="s">
        <v>182</v>
      </c>
      <c r="D57" s="18" t="s">
        <v>58</v>
      </c>
      <c r="E57" s="20" t="n">
        <f aca="false">SUMIFS(msp1!$F:$F,msp1!$A:$A,$A57,msp1!$G:$G,$D57)</f>
        <v>4</v>
      </c>
      <c r="F57" s="20" t="n">
        <f aca="false">SUMIFS(n3pp!$F:$F,n3pp!$A:$A,$A57,n3pp!$G:$G,$D57)</f>
        <v>1</v>
      </c>
      <c r="G57" s="20" t="n">
        <f aca="false">SUMIFS('ffp5cs 230V'!$F:$F,'ffp5cs 230V'!$A:$A,$A57,'ffp5cs 230V'!$G:$G,$D57)</f>
        <v>1</v>
      </c>
      <c r="H57" s="20" t="n">
        <f aca="false">SUMIFS('ffp5cs 12V'!$F:$F,'ffp5cs 12V'!$A:$A,$A57,'ffp5cs 12V'!$G:$G,$D57)</f>
        <v>1</v>
      </c>
      <c r="I57" s="21" t="n">
        <f aca="false">SUM(E57:H57)</f>
        <v>7</v>
      </c>
      <c r="J57" s="22" t="n">
        <v>2</v>
      </c>
      <c r="K57" s="18" t="n">
        <f aca="false">IF(I57=0,0,I57+J57)</f>
        <v>9</v>
      </c>
      <c r="L57" s="18" t="n">
        <f aca="false">INDEX(Prix!$E$5:$E$79,MATCH($A57,Prix!$A$5:$A$79,0))</f>
        <v>1</v>
      </c>
      <c r="M57" s="18" t="n">
        <f aca="false">IF(K57=0,0,ROUNDUP(K57/L57,0))</f>
        <v>9</v>
      </c>
      <c r="N57" s="23" t="n">
        <f aca="false">IF(INDEX(Prix!$D$5:$D$79,MATCH($A57,Prix!$A$5:$A$79,0))="","",INDEX(Prix!$D$5:$D$79,MATCH($A57,Prix!$A$5:$A$79,0)))</f>
        <v>2</v>
      </c>
      <c r="O57" s="23" t="n">
        <f aca="false">IF(N57="","",M57*N57)</f>
        <v>18</v>
      </c>
      <c r="P57" s="18" t="str">
        <f aca="false">INDEX(Prix!$C$5:$C$79,MATCH($A57,Prix!$A$5:$A$79,0))</f>
        <v>Moussasoft</v>
      </c>
      <c r="Q57" s="18" t="str">
        <f aca="false">INDEX(Prix!$H$5:$H$79,MATCH($A57,Prix!$A$5:$A$79,0))</f>
        <v>Maroc</v>
      </c>
      <c r="R57" s="19" t="s">
        <v>183</v>
      </c>
      <c r="S57" s="24" t="s">
        <v>60</v>
      </c>
    </row>
    <row r="58" customFormat="false" ht="23.85" hidden="false" customHeight="false" outlineLevel="0" collapsed="false">
      <c r="A58" s="17" t="s">
        <v>184</v>
      </c>
      <c r="B58" s="18" t="s">
        <v>171</v>
      </c>
      <c r="C58" s="19" t="s">
        <v>185</v>
      </c>
      <c r="D58" s="18" t="s">
        <v>58</v>
      </c>
      <c r="E58" s="20" t="n">
        <f aca="false">SUMIFS(msp1!$F:$F,msp1!$A:$A,$A58,msp1!$G:$G,$D58)</f>
        <v>1</v>
      </c>
      <c r="F58" s="20" t="n">
        <f aca="false">SUMIFS(n3pp!$F:$F,n3pp!$A:$A,$A58,n3pp!$G:$G,$D58)</f>
        <v>0</v>
      </c>
      <c r="G58" s="20" t="n">
        <f aca="false">SUMIFS('ffp5cs 230V'!$F:$F,'ffp5cs 230V'!$A:$A,$A58,'ffp5cs 230V'!$G:$G,$D58)</f>
        <v>0</v>
      </c>
      <c r="H58" s="20" t="n">
        <f aca="false">SUMIFS('ffp5cs 12V'!$F:$F,'ffp5cs 12V'!$A:$A,$A58,'ffp5cs 12V'!$G:$G,$D58)</f>
        <v>0</v>
      </c>
      <c r="I58" s="21" t="n">
        <f aca="false">SUM(E58:H58)</f>
        <v>1</v>
      </c>
      <c r="J58" s="22" t="n">
        <v>0</v>
      </c>
      <c r="K58" s="18" t="n">
        <f aca="false">IF(I58=0,0,I58+J58)</f>
        <v>1</v>
      </c>
      <c r="L58" s="18" t="n">
        <f aca="false">INDEX(Prix!$E$5:$E$79,MATCH($A58,Prix!$A$5:$A$79,0))</f>
        <v>1</v>
      </c>
      <c r="M58" s="18" t="n">
        <f aca="false">IF(K58=0,0,ROUNDUP(K58/L58,0))</f>
        <v>1</v>
      </c>
      <c r="N58" s="23" t="n">
        <f aca="false">IF(INDEX(Prix!$D$5:$D$79,MATCH($A58,Prix!$A$5:$A$79,0))="","",INDEX(Prix!$D$5:$D$79,MATCH($A58,Prix!$A$5:$A$79,0)))</f>
        <v>25</v>
      </c>
      <c r="O58" s="23" t="n">
        <f aca="false">IF(N58="","",M58*N58)</f>
        <v>25</v>
      </c>
      <c r="P58" s="18" t="str">
        <f aca="false">INDEX(Prix!$C$5:$C$79,MATCH($A58,Prix!$A$5:$A$79,0))</f>
        <v>Moussasoft</v>
      </c>
      <c r="Q58" s="18" t="str">
        <f aca="false">INDEX(Prix!$H$5:$H$79,MATCH($A58,Prix!$A$5:$A$79,0))</f>
        <v>Maroc</v>
      </c>
      <c r="R58" s="19" t="s">
        <v>186</v>
      </c>
      <c r="S58" s="24" t="s">
        <v>60</v>
      </c>
    </row>
    <row r="59" customFormat="false" ht="23.85" hidden="false" customHeight="false" outlineLevel="0" collapsed="false">
      <c r="A59" s="17" t="s">
        <v>187</v>
      </c>
      <c r="B59" s="18" t="s">
        <v>171</v>
      </c>
      <c r="C59" s="19" t="s">
        <v>188</v>
      </c>
      <c r="D59" s="18" t="s">
        <v>58</v>
      </c>
      <c r="E59" s="20" t="n">
        <f aca="false">SUMIFS(msp1!$F:$F,msp1!$A:$A,$A59,msp1!$G:$G,$D59)</f>
        <v>1</v>
      </c>
      <c r="F59" s="20" t="n">
        <f aca="false">SUMIFS(n3pp!$F:$F,n3pp!$A:$A,$A59,n3pp!$G:$G,$D59)</f>
        <v>4</v>
      </c>
      <c r="G59" s="20" t="n">
        <f aca="false">SUMIFS('ffp5cs 230V'!$F:$F,'ffp5cs 230V'!$A:$A,$A59,'ffp5cs 230V'!$G:$G,$D59)</f>
        <v>0</v>
      </c>
      <c r="H59" s="20" t="n">
        <f aca="false">SUMIFS('ffp5cs 12V'!$F:$F,'ffp5cs 12V'!$A:$A,$A59,'ffp5cs 12V'!$G:$G,$D59)</f>
        <v>0</v>
      </c>
      <c r="I59" s="21" t="n">
        <f aca="false">SUM(E59:H59)</f>
        <v>5</v>
      </c>
      <c r="J59" s="22" t="n">
        <v>1</v>
      </c>
      <c r="K59" s="18" t="n">
        <f aca="false">IF(I59=0,0,I59+J59)</f>
        <v>6</v>
      </c>
      <c r="L59" s="18" t="n">
        <f aca="false">INDEX(Prix!$E$5:$E$79,MATCH($A59,Prix!$A$5:$A$79,0))</f>
        <v>1</v>
      </c>
      <c r="M59" s="18" t="n">
        <f aca="false">IF(K59=0,0,ROUNDUP(K59/L59,0))</f>
        <v>6</v>
      </c>
      <c r="N59" s="23" t="n">
        <f aca="false">IF(INDEX(Prix!$D$5:$D$79,MATCH($A59,Prix!$A$5:$A$79,0))="","",INDEX(Prix!$D$5:$D$79,MATCH($A59,Prix!$A$5:$A$79,0)))</f>
        <v>35</v>
      </c>
      <c r="O59" s="23" t="n">
        <f aca="false">IF(N59="","",M59*N59)</f>
        <v>210</v>
      </c>
      <c r="P59" s="18" t="str">
        <f aca="false">INDEX(Prix!$C$5:$C$79,MATCH($A59,Prix!$A$5:$A$79,0))</f>
        <v>Shop4Makers</v>
      </c>
      <c r="Q59" s="18" t="str">
        <f aca="false">INDEX(Prix!$H$5:$H$79,MATCH($A59,Prix!$A$5:$A$79,0))</f>
        <v>Maroc</v>
      </c>
      <c r="R59" s="19" t="s">
        <v>189</v>
      </c>
      <c r="S59" s="24" t="s">
        <v>60</v>
      </c>
    </row>
    <row r="60" customFormat="false" ht="15" hidden="false" customHeight="false" outlineLevel="0" collapsed="false">
      <c r="A60" s="17" t="s">
        <v>190</v>
      </c>
      <c r="B60" s="18" t="s">
        <v>171</v>
      </c>
      <c r="C60" s="19" t="s">
        <v>191</v>
      </c>
      <c r="D60" s="18" t="s">
        <v>58</v>
      </c>
      <c r="E60" s="20" t="n">
        <f aca="false">SUMIFS(msp1!$F:$F,msp1!$A:$A,$A60,msp1!$G:$G,$D60)</f>
        <v>0</v>
      </c>
      <c r="F60" s="20" t="n">
        <f aca="false">SUMIFS(n3pp!$F:$F,n3pp!$A:$A,$A60,n3pp!$G:$G,$D60)</f>
        <v>0</v>
      </c>
      <c r="G60" s="20" t="n">
        <f aca="false">SUMIFS('ffp5cs 230V'!$F:$F,'ffp5cs 230V'!$A:$A,$A60,'ffp5cs 230V'!$G:$G,$D60)</f>
        <v>3</v>
      </c>
      <c r="H60" s="20" t="n">
        <f aca="false">SUMIFS('ffp5cs 12V'!$F:$F,'ffp5cs 12V'!$A:$A,$A60,'ffp5cs 12V'!$G:$G,$D60)</f>
        <v>3</v>
      </c>
      <c r="I60" s="21" t="n">
        <f aca="false">SUM(E60:H60)</f>
        <v>6</v>
      </c>
      <c r="J60" s="22" t="n">
        <v>1</v>
      </c>
      <c r="K60" s="18" t="n">
        <f aca="false">IF(I60=0,0,I60+J60)</f>
        <v>7</v>
      </c>
      <c r="L60" s="18" t="n">
        <f aca="false">INDEX(Prix!$E$5:$E$79,MATCH($A60,Prix!$A$5:$A$79,0))</f>
        <v>1</v>
      </c>
      <c r="M60" s="18" t="n">
        <f aca="false">IF(K60=0,0,ROUNDUP(K60/L60,0))</f>
        <v>7</v>
      </c>
      <c r="N60" s="23" t="n">
        <f aca="false">IF(INDEX(Prix!$D$5:$D$79,MATCH($A60,Prix!$A$5:$A$79,0))="","",INDEX(Prix!$D$5:$D$79,MATCH($A60,Prix!$A$5:$A$79,0)))</f>
        <v>25</v>
      </c>
      <c r="O60" s="23" t="n">
        <f aca="false">IF(N60="","",M60*N60)</f>
        <v>175</v>
      </c>
      <c r="P60" s="18" t="str">
        <f aca="false">INDEX(Prix!$C$5:$C$79,MATCH($A60,Prix!$A$5:$A$79,0))</f>
        <v>Moussasoft</v>
      </c>
      <c r="Q60" s="18" t="str">
        <f aca="false">INDEX(Prix!$H$5:$H$79,MATCH($A60,Prix!$A$5:$A$79,0))</f>
        <v>Maroc</v>
      </c>
      <c r="R60" s="19"/>
      <c r="S60" s="24" t="s">
        <v>60</v>
      </c>
    </row>
    <row r="61" customFormat="false" ht="15" hidden="false" customHeight="false" outlineLevel="0" collapsed="false">
      <c r="A61" s="17" t="s">
        <v>192</v>
      </c>
      <c r="B61" s="18" t="s">
        <v>171</v>
      </c>
      <c r="C61" s="19" t="s">
        <v>193</v>
      </c>
      <c r="D61" s="18" t="s">
        <v>58</v>
      </c>
      <c r="E61" s="20" t="n">
        <f aca="false">SUMIFS(msp1!$F:$F,msp1!$A:$A,$A61,msp1!$G:$G,$D61)</f>
        <v>2</v>
      </c>
      <c r="F61" s="20" t="n">
        <f aca="false">SUMIFS(n3pp!$F:$F,n3pp!$A:$A,$A61,n3pp!$G:$G,$D61)</f>
        <v>0</v>
      </c>
      <c r="G61" s="20" t="n">
        <f aca="false">SUMIFS('ffp5cs 230V'!$F:$F,'ffp5cs 230V'!$A:$A,$A61,'ffp5cs 230V'!$G:$G,$D61)</f>
        <v>2</v>
      </c>
      <c r="H61" s="20" t="n">
        <f aca="false">SUMIFS('ffp5cs 12V'!$F:$F,'ffp5cs 12V'!$A:$A,$A61,'ffp5cs 12V'!$G:$G,$D61)</f>
        <v>2</v>
      </c>
      <c r="I61" s="21" t="n">
        <f aca="false">SUM(E61:H61)</f>
        <v>6</v>
      </c>
      <c r="J61" s="22" t="n">
        <v>1</v>
      </c>
      <c r="K61" s="18" t="n">
        <f aca="false">IF(I61=0,0,I61+J61)</f>
        <v>7</v>
      </c>
      <c r="L61" s="18" t="n">
        <f aca="false">INDEX(Prix!$E$5:$E$79,MATCH($A61,Prix!$A$5:$A$79,0))</f>
        <v>1</v>
      </c>
      <c r="M61" s="18" t="n">
        <f aca="false">IF(K61=0,0,ROUNDUP(K61/L61,0))</f>
        <v>7</v>
      </c>
      <c r="N61" s="23" t="n">
        <f aca="false">IF(INDEX(Prix!$D$5:$D$79,MATCH($A61,Prix!$A$5:$A$79,0))="","",INDEX(Prix!$D$5:$D$79,MATCH($A61,Prix!$A$5:$A$79,0)))</f>
        <v>30</v>
      </c>
      <c r="O61" s="23" t="n">
        <f aca="false">IF(N61="","",M61*N61)</f>
        <v>210</v>
      </c>
      <c r="P61" s="18" t="str">
        <f aca="false">INDEX(Prix!$C$5:$C$79,MATCH($A61,Prix!$A$5:$A$79,0))</f>
        <v>Moussasoft</v>
      </c>
      <c r="Q61" s="18" t="str">
        <f aca="false">INDEX(Prix!$H$5:$H$79,MATCH($A61,Prix!$A$5:$A$79,0))</f>
        <v>Maroc</v>
      </c>
      <c r="R61" s="19" t="s">
        <v>194</v>
      </c>
      <c r="S61" s="24" t="s">
        <v>60</v>
      </c>
    </row>
    <row r="62" customFormat="false" ht="23.85" hidden="false" customHeight="false" outlineLevel="0" collapsed="false">
      <c r="A62" s="17" t="s">
        <v>195</v>
      </c>
      <c r="B62" s="18" t="s">
        <v>171</v>
      </c>
      <c r="C62" s="19" t="s">
        <v>196</v>
      </c>
      <c r="D62" s="18" t="s">
        <v>58</v>
      </c>
      <c r="E62" s="20" t="n">
        <f aca="false">SUMIFS(msp1!$F:$F,msp1!$A:$A,$A62,msp1!$G:$G,$D62)</f>
        <v>1</v>
      </c>
      <c r="F62" s="20" t="n">
        <f aca="false">SUMIFS(n3pp!$F:$F,n3pp!$A:$A,$A62,n3pp!$G:$G,$D62)</f>
        <v>1</v>
      </c>
      <c r="G62" s="20" t="n">
        <f aca="false">SUMIFS('ffp5cs 230V'!$F:$F,'ffp5cs 230V'!$A:$A,$A62,'ffp5cs 230V'!$G:$G,$D62)</f>
        <v>1</v>
      </c>
      <c r="H62" s="20" t="n">
        <f aca="false">SUMIFS('ffp5cs 12V'!$F:$F,'ffp5cs 12V'!$A:$A,$A62,'ffp5cs 12V'!$G:$G,$D62)</f>
        <v>1</v>
      </c>
      <c r="I62" s="21" t="n">
        <f aca="false">SUM(E62:H62)</f>
        <v>4</v>
      </c>
      <c r="J62" s="22" t="n">
        <v>0</v>
      </c>
      <c r="K62" s="18" t="n">
        <f aca="false">IF(I62=0,0,I62+J62)</f>
        <v>4</v>
      </c>
      <c r="L62" s="18" t="n">
        <f aca="false">INDEX(Prix!$E$5:$E$79,MATCH($A62,Prix!$A$5:$A$79,0))</f>
        <v>1</v>
      </c>
      <c r="M62" s="18" t="n">
        <f aca="false">IF(K62=0,0,ROUNDUP(K62/L62,0))</f>
        <v>4</v>
      </c>
      <c r="N62" s="23" t="n">
        <f aca="false">IF(INDEX(Prix!$D$5:$D$79,MATCH($A62,Prix!$A$5:$A$79,0))="","",INDEX(Prix!$D$5:$D$79,MATCH($A62,Prix!$A$5:$A$79,0)))</f>
        <v>70</v>
      </c>
      <c r="O62" s="23" t="n">
        <f aca="false">IF(N62="","",M62*N62)</f>
        <v>280</v>
      </c>
      <c r="P62" s="18" t="str">
        <f aca="false">INDEX(Prix!$C$5:$C$79,MATCH($A62,Prix!$A$5:$A$79,0))</f>
        <v>Shop4Makers</v>
      </c>
      <c r="Q62" s="18" t="str">
        <f aca="false">INDEX(Prix!$H$5:$H$79,MATCH($A62,Prix!$A$5:$A$79,0))</f>
        <v>Maroc</v>
      </c>
      <c r="R62" s="19" t="s">
        <v>197</v>
      </c>
      <c r="S62" s="24" t="s">
        <v>60</v>
      </c>
    </row>
    <row r="63" customFormat="false" ht="23.85" hidden="false" customHeight="false" outlineLevel="0" collapsed="false">
      <c r="A63" s="17" t="s">
        <v>198</v>
      </c>
      <c r="B63" s="18" t="s">
        <v>171</v>
      </c>
      <c r="C63" s="19" t="s">
        <v>199</v>
      </c>
      <c r="D63" s="18" t="s">
        <v>58</v>
      </c>
      <c r="E63" s="20" t="n">
        <f aca="false">SUMIFS(msp1!$F:$F,msp1!$A:$A,$A63,msp1!$G:$G,$D63)</f>
        <v>0</v>
      </c>
      <c r="F63" s="20" t="n">
        <f aca="false">SUMIFS(n3pp!$F:$F,n3pp!$A:$A,$A63,n3pp!$G:$G,$D63)</f>
        <v>0</v>
      </c>
      <c r="G63" s="20" t="n">
        <f aca="false">SUMIFS('ffp5cs 230V'!$F:$F,'ffp5cs 230V'!$A:$A,$A63,'ffp5cs 230V'!$G:$G,$D63)</f>
        <v>1</v>
      </c>
      <c r="H63" s="20" t="n">
        <f aca="false">SUMIFS('ffp5cs 12V'!$F:$F,'ffp5cs 12V'!$A:$A,$A63,'ffp5cs 12V'!$G:$G,$D63)</f>
        <v>1</v>
      </c>
      <c r="I63" s="21" t="n">
        <f aca="false">SUM(E63:H63)</f>
        <v>2</v>
      </c>
      <c r="J63" s="22" t="n">
        <v>0</v>
      </c>
      <c r="K63" s="18" t="n">
        <f aca="false">IF(I63=0,0,I63+J63)</f>
        <v>2</v>
      </c>
      <c r="L63" s="18" t="n">
        <f aca="false">INDEX(Prix!$E$5:$E$79,MATCH($A63,Prix!$A$5:$A$79,0))</f>
        <v>1</v>
      </c>
      <c r="M63" s="18" t="n">
        <f aca="false">IF(K63=0,0,ROUNDUP(K63/L63,0))</f>
        <v>2</v>
      </c>
      <c r="N63" s="23" t="n">
        <f aca="false">IF(INDEX(Prix!$D$5:$D$79,MATCH($A63,Prix!$A$5:$A$79,0))="","",INDEX(Prix!$D$5:$D$79,MATCH($A63,Prix!$A$5:$A$79,0)))</f>
        <v>29</v>
      </c>
      <c r="O63" s="23" t="n">
        <f aca="false">IF(N63="","",M63*N63)</f>
        <v>58</v>
      </c>
      <c r="P63" s="18" t="str">
        <f aca="false">INDEX(Prix!$C$5:$C$79,MATCH($A63,Prix!$A$5:$A$79,0))</f>
        <v>A2itronic</v>
      </c>
      <c r="Q63" s="18" t="str">
        <f aca="false">INDEX(Prix!$H$5:$H$79,MATCH($A63,Prix!$A$5:$A$79,0))</f>
        <v>Maroc</v>
      </c>
      <c r="R63" s="19" t="s">
        <v>200</v>
      </c>
      <c r="S63" s="24" t="s">
        <v>60</v>
      </c>
    </row>
    <row r="64" customFormat="false" ht="15" hidden="false" customHeight="false" outlineLevel="0" collapsed="false">
      <c r="A64" s="17" t="s">
        <v>201</v>
      </c>
      <c r="B64" s="18" t="s">
        <v>171</v>
      </c>
      <c r="C64" s="19" t="s">
        <v>202</v>
      </c>
      <c r="D64" s="18" t="s">
        <v>58</v>
      </c>
      <c r="E64" s="20" t="n">
        <f aca="false">SUMIFS(msp1!$F:$F,msp1!$A:$A,$A64,msp1!$G:$G,$D64)</f>
        <v>0</v>
      </c>
      <c r="F64" s="20" t="n">
        <f aca="false">SUMIFS(n3pp!$F:$F,n3pp!$A:$A,$A64,n3pp!$G:$G,$D64)</f>
        <v>0</v>
      </c>
      <c r="G64" s="20" t="n">
        <f aca="false">SUMIFS('ffp5cs 230V'!$F:$F,'ffp5cs 230V'!$A:$A,$A64,'ffp5cs 230V'!$G:$G,$D64)</f>
        <v>1</v>
      </c>
      <c r="H64" s="20" t="n">
        <f aca="false">SUMIFS('ffp5cs 12V'!$F:$F,'ffp5cs 12V'!$A:$A,$A64,'ffp5cs 12V'!$G:$G,$D64)</f>
        <v>1</v>
      </c>
      <c r="I64" s="21" t="n">
        <f aca="false">SUM(E64:H64)</f>
        <v>2</v>
      </c>
      <c r="J64" s="22" t="n">
        <v>0</v>
      </c>
      <c r="K64" s="18" t="n">
        <f aca="false">IF(I64=0,0,I64+J64)</f>
        <v>2</v>
      </c>
      <c r="L64" s="18" t="n">
        <f aca="false">INDEX(Prix!$E$5:$E$79,MATCH($A64,Prix!$A$5:$A$79,0))</f>
        <v>1</v>
      </c>
      <c r="M64" s="18" t="n">
        <f aca="false">IF(K64=0,0,ROUNDUP(K64/L64,0))</f>
        <v>2</v>
      </c>
      <c r="N64" s="23" t="n">
        <f aca="false">IF(INDEX(Prix!$D$5:$D$79,MATCH($A64,Prix!$A$5:$A$79,0))="","",INDEX(Prix!$D$5:$D$79,MATCH($A64,Prix!$A$5:$A$79,0)))</f>
        <v>3</v>
      </c>
      <c r="O64" s="23" t="n">
        <f aca="false">IF(N64="","",M64*N64)</f>
        <v>6</v>
      </c>
      <c r="P64" s="18" t="str">
        <f aca="false">INDEX(Prix!$C$5:$C$79,MATCH($A64,Prix!$A$5:$A$79,0))</f>
        <v>Shop4Makers</v>
      </c>
      <c r="Q64" s="18" t="str">
        <f aca="false">INDEX(Prix!$H$5:$H$79,MATCH($A64,Prix!$A$5:$A$79,0))</f>
        <v>Maroc</v>
      </c>
      <c r="R64" s="19"/>
      <c r="S64" s="24" t="s">
        <v>60</v>
      </c>
    </row>
    <row r="65" customFormat="false" ht="23.85" hidden="false" customHeight="false" outlineLevel="0" collapsed="false">
      <c r="A65" s="17" t="s">
        <v>203</v>
      </c>
      <c r="B65" s="18" t="s">
        <v>171</v>
      </c>
      <c r="C65" s="19" t="s">
        <v>204</v>
      </c>
      <c r="D65" s="18" t="s">
        <v>58</v>
      </c>
      <c r="E65" s="20" t="n">
        <f aca="false">SUMIFS(msp1!$F:$F,msp1!$A:$A,$A65,msp1!$G:$G,$D65)</f>
        <v>0</v>
      </c>
      <c r="F65" s="20" t="n">
        <f aca="false">SUMIFS(n3pp!$F:$F,n3pp!$A:$A,$A65,n3pp!$G:$G,$D65)</f>
        <v>0</v>
      </c>
      <c r="G65" s="20" t="n">
        <f aca="false">SUMIFS('ffp5cs 230V'!$F:$F,'ffp5cs 230V'!$A:$A,$A65,'ffp5cs 230V'!$G:$G,$D65)</f>
        <v>0</v>
      </c>
      <c r="H65" s="20" t="n">
        <f aca="false">SUMIFS('ffp5cs 12V'!$F:$F,'ffp5cs 12V'!$A:$A,$A65,'ffp5cs 12V'!$G:$G,$D65)</f>
        <v>1</v>
      </c>
      <c r="I65" s="21" t="n">
        <f aca="false">SUM(E65:H65)</f>
        <v>1</v>
      </c>
      <c r="J65" s="22" t="n">
        <v>0</v>
      </c>
      <c r="K65" s="18" t="n">
        <f aca="false">IF(I65=0,0,I65+J65)</f>
        <v>1</v>
      </c>
      <c r="L65" s="18" t="n">
        <f aca="false">INDEX(Prix!$E$5:$E$79,MATCH($A65,Prix!$A$5:$A$79,0))</f>
        <v>1</v>
      </c>
      <c r="M65" s="18" t="n">
        <f aca="false">IF(K65=0,0,ROUNDUP(K65/L65,0))</f>
        <v>1</v>
      </c>
      <c r="N65" s="23" t="n">
        <f aca="false">IF(INDEX(Prix!$D$5:$D$79,MATCH($A65,Prix!$A$5:$A$79,0))="","",INDEX(Prix!$D$5:$D$79,MATCH($A65,Prix!$A$5:$A$79,0)))</f>
        <v>50</v>
      </c>
      <c r="O65" s="23" t="n">
        <f aca="false">IF(N65="","",M65*N65)</f>
        <v>50</v>
      </c>
      <c r="P65" s="18" t="str">
        <f aca="false">INDEX(Prix!$C$5:$C$79,MATCH($A65,Prix!$A$5:$A$79,0))</f>
        <v>Shop4Makers</v>
      </c>
      <c r="Q65" s="18" t="str">
        <f aca="false">INDEX(Prix!$H$5:$H$79,MATCH($A65,Prix!$A$5:$A$79,0))</f>
        <v>Maroc</v>
      </c>
      <c r="R65" s="19" t="s">
        <v>205</v>
      </c>
      <c r="S65" s="24" t="s">
        <v>60</v>
      </c>
    </row>
    <row r="66" customFormat="false" ht="23.85" hidden="false" customHeight="false" outlineLevel="0" collapsed="false">
      <c r="A66" s="41" t="s">
        <v>203</v>
      </c>
      <c r="B66" s="42" t="s">
        <v>171</v>
      </c>
      <c r="C66" s="43" t="s">
        <v>204</v>
      </c>
      <c r="D66" s="42" t="s">
        <v>176</v>
      </c>
      <c r="E66" s="44" t="n">
        <f aca="false">SUMIFS(msp1!$F:$F,msp1!$A:$A,$A66,msp1!$G:$G,$D66)</f>
        <v>0</v>
      </c>
      <c r="F66" s="44" t="n">
        <f aca="false">SUMIFS(n3pp!$F:$F,n3pp!$A:$A,$A66,n3pp!$G:$G,$D66)</f>
        <v>0</v>
      </c>
      <c r="G66" s="44" t="n">
        <f aca="false">SUMIFS('ffp5cs 230V'!$F:$F,'ffp5cs 230V'!$A:$A,$A66,'ffp5cs 230V'!$G:$G,$D66)</f>
        <v>0</v>
      </c>
      <c r="H66" s="44" t="n">
        <f aca="false">SUMIFS('ffp5cs 12V'!$F:$F,'ffp5cs 12V'!$A:$A,$A66,'ffp5cs 12V'!$G:$G,$D66)</f>
        <v>2</v>
      </c>
      <c r="I66" s="45" t="n">
        <f aca="false">SUM(E66:H66)</f>
        <v>2</v>
      </c>
      <c r="J66" s="46" t="n">
        <v>0</v>
      </c>
      <c r="K66" s="42" t="n">
        <f aca="false">IF(I66=0,0,I66+J66)</f>
        <v>2</v>
      </c>
      <c r="L66" s="42" t="n">
        <f aca="false">INDEX(Prix!$E$5:$E$79,MATCH($A66,Prix!$A$5:$A$79,0))</f>
        <v>1</v>
      </c>
      <c r="M66" s="42" t="n">
        <f aca="false">IF(K66=0,0,ROUNDUP(K66/L66,0))</f>
        <v>2</v>
      </c>
      <c r="N66" s="47" t="n">
        <f aca="false">IF(INDEX(Prix!$D$5:$D$79,MATCH($A66,Prix!$A$5:$A$79,0))="","",INDEX(Prix!$D$5:$D$79,MATCH($A66,Prix!$A$5:$A$79,0)))</f>
        <v>50</v>
      </c>
      <c r="O66" s="47" t="n">
        <f aca="false">IF(N66="","",M66*N66)</f>
        <v>100</v>
      </c>
      <c r="P66" s="42" t="str">
        <f aca="false">INDEX(Prix!$C$5:$C$79,MATCH($A66,Prix!$A$5:$A$79,0))</f>
        <v>Shop4Makers</v>
      </c>
      <c r="Q66" s="42" t="str">
        <f aca="false">INDEX(Prix!$H$5:$H$79,MATCH($A66,Prix!$A$5:$A$79,0))</f>
        <v>Maroc</v>
      </c>
      <c r="R66" s="43" t="s">
        <v>205</v>
      </c>
      <c r="S66" s="48" t="s">
        <v>60</v>
      </c>
    </row>
    <row r="67" customFormat="false" ht="35.05" hidden="false" customHeight="false" outlineLevel="0" collapsed="false">
      <c r="A67" s="41" t="s">
        <v>206</v>
      </c>
      <c r="B67" s="42" t="s">
        <v>171</v>
      </c>
      <c r="C67" s="43" t="s">
        <v>207</v>
      </c>
      <c r="D67" s="42" t="s">
        <v>176</v>
      </c>
      <c r="E67" s="44" t="n">
        <f aca="false">SUMIFS(msp1!$F:$F,msp1!$A:$A,$A67,msp1!$G:$G,$D67)</f>
        <v>0</v>
      </c>
      <c r="F67" s="44" t="n">
        <f aca="false">SUMIFS(n3pp!$F:$F,n3pp!$A:$A,$A67,n3pp!$G:$G,$D67)</f>
        <v>0</v>
      </c>
      <c r="G67" s="44" t="n">
        <f aca="false">SUMIFS('ffp5cs 230V'!$F:$F,'ffp5cs 230V'!$A:$A,$A67,'ffp5cs 230V'!$G:$G,$D67)</f>
        <v>1</v>
      </c>
      <c r="H67" s="44" t="n">
        <f aca="false">SUMIFS('ffp5cs 12V'!$F:$F,'ffp5cs 12V'!$A:$A,$A67,'ffp5cs 12V'!$G:$G,$D67)</f>
        <v>0</v>
      </c>
      <c r="I67" s="45" t="n">
        <f aca="false">SUM(E67:H67)</f>
        <v>1</v>
      </c>
      <c r="J67" s="46" t="n">
        <v>0</v>
      </c>
      <c r="K67" s="42" t="n">
        <f aca="false">IF(I67=0,0,I67+J67)</f>
        <v>1</v>
      </c>
      <c r="L67" s="42" t="n">
        <f aca="false">INDEX(Prix!$E$5:$E$79,MATCH($A67,Prix!$A$5:$A$79,0))</f>
        <v>1</v>
      </c>
      <c r="M67" s="42" t="n">
        <f aca="false">IF(K67=0,0,ROUNDUP(K67/L67,0))</f>
        <v>1</v>
      </c>
      <c r="N67" s="47" t="n">
        <f aca="false">IF(INDEX(Prix!$D$5:$D$79,MATCH($A67,Prix!$A$5:$A$79,0))="","",INDEX(Prix!$D$5:$D$79,MATCH($A67,Prix!$A$5:$A$79,0)))</f>
        <v>18</v>
      </c>
      <c r="O67" s="47" t="n">
        <f aca="false">IF(N67="","",M67*N67)</f>
        <v>18</v>
      </c>
      <c r="P67" s="42" t="str">
        <f aca="false">INDEX(Prix!$C$5:$C$79,MATCH($A67,Prix!$A$5:$A$79,0))</f>
        <v>Moussasoft</v>
      </c>
      <c r="Q67" s="42" t="str">
        <f aca="false">INDEX(Prix!$H$5:$H$79,MATCH($A67,Prix!$A$5:$A$79,0))</f>
        <v>Maroc</v>
      </c>
      <c r="R67" s="43" t="s">
        <v>208</v>
      </c>
      <c r="S67" s="48" t="s">
        <v>60</v>
      </c>
    </row>
    <row r="68" customFormat="false" ht="23.85" hidden="false" customHeight="false" outlineLevel="0" collapsed="false">
      <c r="A68" s="17" t="s">
        <v>209</v>
      </c>
      <c r="B68" s="18" t="s">
        <v>171</v>
      </c>
      <c r="C68" s="19" t="s">
        <v>210</v>
      </c>
      <c r="D68" s="18" t="s">
        <v>58</v>
      </c>
      <c r="E68" s="20" t="n">
        <f aca="false">SUMIFS(msp1!$F:$F,msp1!$A:$A,$A68,msp1!$G:$G,$D68)</f>
        <v>0</v>
      </c>
      <c r="F68" s="20" t="n">
        <f aca="false">SUMIFS(n3pp!$F:$F,n3pp!$A:$A,$A68,n3pp!$G:$G,$D68)</f>
        <v>1</v>
      </c>
      <c r="G68" s="20" t="n">
        <f aca="false">SUMIFS('ffp5cs 230V'!$F:$F,'ffp5cs 230V'!$A:$A,$A68,'ffp5cs 230V'!$G:$G,$D68)</f>
        <v>0</v>
      </c>
      <c r="H68" s="20" t="n">
        <f aca="false">SUMIFS('ffp5cs 12V'!$F:$F,'ffp5cs 12V'!$A:$A,$A68,'ffp5cs 12V'!$G:$G,$D68)</f>
        <v>2</v>
      </c>
      <c r="I68" s="21" t="n">
        <f aca="false">SUM(E68:H68)</f>
        <v>3</v>
      </c>
      <c r="J68" s="22" t="n">
        <v>0</v>
      </c>
      <c r="K68" s="18" t="n">
        <f aca="false">IF(I68=0,0,I68+J68)</f>
        <v>3</v>
      </c>
      <c r="L68" s="18" t="n">
        <f aca="false">INDEX(Prix!$E$5:$E$79,MATCH($A68,Prix!$A$5:$A$79,0))</f>
        <v>1</v>
      </c>
      <c r="M68" s="18" t="n">
        <f aca="false">IF(K68=0,0,ROUNDUP(K68/L68,0))</f>
        <v>3</v>
      </c>
      <c r="N68" s="23" t="n">
        <f aca="false">IF(INDEX(Prix!$D$5:$D$79,MATCH($A68,Prix!$A$5:$A$79,0))="","",INDEX(Prix!$D$5:$D$79,MATCH($A68,Prix!$A$5:$A$79,0)))</f>
        <v>0.9</v>
      </c>
      <c r="O68" s="23" t="n">
        <f aca="false">IF(N68="","",M68*N68)</f>
        <v>2.7</v>
      </c>
      <c r="P68" s="18" t="str">
        <f aca="false">INDEX(Prix!$C$5:$C$79,MATCH($A68,Prix!$A$5:$A$79,0))</f>
        <v>Shop4Makers</v>
      </c>
      <c r="Q68" s="18" t="str">
        <f aca="false">INDEX(Prix!$H$5:$H$79,MATCH($A68,Prix!$A$5:$A$79,0))</f>
        <v>Maroc</v>
      </c>
      <c r="R68" s="19"/>
      <c r="S68" s="24" t="s">
        <v>60</v>
      </c>
    </row>
    <row r="69" customFormat="false" ht="23.85" hidden="false" customHeight="false" outlineLevel="0" collapsed="false">
      <c r="A69" s="49" t="s">
        <v>211</v>
      </c>
      <c r="B69" s="50" t="s">
        <v>212</v>
      </c>
      <c r="C69" s="51" t="s">
        <v>213</v>
      </c>
      <c r="D69" s="50" t="s">
        <v>214</v>
      </c>
      <c r="E69" s="52" t="n">
        <f aca="false">SUMIFS(msp1!$F:$F,msp1!$A:$A,$A69,msp1!$G:$G,$D69)</f>
        <v>1</v>
      </c>
      <c r="F69" s="52" t="n">
        <f aca="false">SUMIFS(n3pp!$F:$F,n3pp!$A:$A,$A69,n3pp!$G:$G,$D69)</f>
        <v>0</v>
      </c>
      <c r="G69" s="52" t="n">
        <f aca="false">SUMIFS('ffp5cs 230V'!$F:$F,'ffp5cs 230V'!$A:$A,$A69,'ffp5cs 230V'!$G:$G,$D69)</f>
        <v>0</v>
      </c>
      <c r="H69" s="52" t="n">
        <f aca="false">SUMIFS('ffp5cs 12V'!$F:$F,'ffp5cs 12V'!$A:$A,$A69,'ffp5cs 12V'!$G:$G,$D69)</f>
        <v>0</v>
      </c>
      <c r="I69" s="53" t="n">
        <f aca="false">SUM(E69:H69)</f>
        <v>1</v>
      </c>
      <c r="J69" s="54" t="n">
        <v>0</v>
      </c>
      <c r="K69" s="50" t="n">
        <f aca="false">IF(I69=0,0,I69+J69)</f>
        <v>1</v>
      </c>
      <c r="L69" s="50" t="n">
        <f aca="false">INDEX(Prix!$E$5:$E$79,MATCH($A69,Prix!$A$5:$A$79,0))</f>
        <v>1</v>
      </c>
      <c r="M69" s="50" t="n">
        <f aca="false">IF(K69=0,0,ROUNDUP(K69/L69,0))</f>
        <v>1</v>
      </c>
      <c r="N69" s="55" t="n">
        <f aca="false">IF(INDEX(Prix!$D$5:$D$79,MATCH($A69,Prix!$A$5:$A$79,0))="","",INDEX(Prix!$D$5:$D$79,MATCH($A69,Prix!$A$5:$A$79,0)))</f>
        <v>15</v>
      </c>
      <c r="O69" s="55" t="n">
        <f aca="false">IF(N69="","",M69*N69)</f>
        <v>15</v>
      </c>
      <c r="P69" s="50" t="str">
        <f aca="false">INDEX(Prix!$C$5:$C$79,MATCH($A69,Prix!$A$5:$A$79,0))</f>
        <v>Shop4Makers</v>
      </c>
      <c r="Q69" s="50" t="str">
        <f aca="false">INDEX(Prix!$H$5:$H$79,MATCH($A69,Prix!$A$5:$A$79,0))</f>
        <v>Maroc</v>
      </c>
      <c r="R69" s="51" t="s">
        <v>215</v>
      </c>
      <c r="S69" s="56" t="s">
        <v>60</v>
      </c>
    </row>
    <row r="70" customFormat="false" ht="15" hidden="false" customHeight="false" outlineLevel="0" collapsed="false">
      <c r="A70" s="25" t="s">
        <v>216</v>
      </c>
      <c r="B70" s="26" t="s">
        <v>212</v>
      </c>
      <c r="C70" s="27" t="s">
        <v>217</v>
      </c>
      <c r="D70" s="26" t="s">
        <v>58</v>
      </c>
      <c r="E70" s="28" t="n">
        <f aca="false">SUMIFS(msp1!$F:$F,msp1!$A:$A,$A70,msp1!$G:$G,$D70)</f>
        <v>1</v>
      </c>
      <c r="F70" s="28" t="n">
        <f aca="false">SUMIFS(n3pp!$F:$F,n3pp!$A:$A,$A70,n3pp!$G:$G,$D70)</f>
        <v>0</v>
      </c>
      <c r="G70" s="28" t="n">
        <f aca="false">SUMIFS('ffp5cs 230V'!$F:$F,'ffp5cs 230V'!$A:$A,$A70,'ffp5cs 230V'!$G:$G,$D70)</f>
        <v>0</v>
      </c>
      <c r="H70" s="28" t="n">
        <f aca="false">SUMIFS('ffp5cs 12V'!$F:$F,'ffp5cs 12V'!$A:$A,$A70,'ffp5cs 12V'!$G:$G,$D70)</f>
        <v>0</v>
      </c>
      <c r="I70" s="29" t="n">
        <f aca="false">SUM(E70:H70)</f>
        <v>1</v>
      </c>
      <c r="J70" s="30" t="n">
        <v>0</v>
      </c>
      <c r="K70" s="26" t="n">
        <f aca="false">IF(I70=0,0,I70+J70)</f>
        <v>1</v>
      </c>
      <c r="L70" s="26" t="n">
        <f aca="false">INDEX(Prix!$E$5:$E$79,MATCH($A70,Prix!$A$5:$A$79,0))</f>
        <v>1</v>
      </c>
      <c r="M70" s="26" t="n">
        <f aca="false">IF(K70=0,0,ROUNDUP(K70/L70,0))</f>
        <v>1</v>
      </c>
      <c r="N70" s="31" t="n">
        <f aca="false">IF(INDEX(Prix!$D$5:$D$79,MATCH($A70,Prix!$A$5:$A$79,0))="","",INDEX(Prix!$D$5:$D$79,MATCH($A70,Prix!$A$5:$A$79,0)))</f>
        <v>16</v>
      </c>
      <c r="O70" s="31" t="n">
        <f aca="false">IF(N70="","",M70*N70)</f>
        <v>16</v>
      </c>
      <c r="P70" s="26" t="str">
        <f aca="false">INDEX(Prix!$C$5:$C$79,MATCH($A70,Prix!$A$5:$A$79,0))</f>
        <v>Shop4Makers</v>
      </c>
      <c r="Q70" s="26" t="str">
        <f aca="false">INDEX(Prix!$H$5:$H$79,MATCH($A70,Prix!$A$5:$A$79,0))</f>
        <v>Maroc</v>
      </c>
      <c r="R70" s="27"/>
      <c r="S70" s="32" t="s">
        <v>60</v>
      </c>
    </row>
    <row r="71" customFormat="false" ht="15" hidden="false" customHeight="false" outlineLevel="0" collapsed="false">
      <c r="A71" s="25" t="s">
        <v>218</v>
      </c>
      <c r="B71" s="26" t="s">
        <v>212</v>
      </c>
      <c r="C71" s="27" t="s">
        <v>219</v>
      </c>
      <c r="D71" s="26" t="s">
        <v>58</v>
      </c>
      <c r="E71" s="28" t="n">
        <f aca="false">SUMIFS(msp1!$F:$F,msp1!$A:$A,$A71,msp1!$G:$G,$D71)</f>
        <v>1</v>
      </c>
      <c r="F71" s="28" t="n">
        <f aca="false">SUMIFS(n3pp!$F:$F,n3pp!$A:$A,$A71,n3pp!$G:$G,$D71)</f>
        <v>0</v>
      </c>
      <c r="G71" s="28" t="n">
        <f aca="false">SUMIFS('ffp5cs 230V'!$F:$F,'ffp5cs 230V'!$A:$A,$A71,'ffp5cs 230V'!$G:$G,$D71)</f>
        <v>0</v>
      </c>
      <c r="H71" s="28" t="n">
        <f aca="false">SUMIFS('ffp5cs 12V'!$F:$F,'ffp5cs 12V'!$A:$A,$A71,'ffp5cs 12V'!$G:$G,$D71)</f>
        <v>0</v>
      </c>
      <c r="I71" s="29" t="n">
        <f aca="false">SUM(E71:H71)</f>
        <v>1</v>
      </c>
      <c r="J71" s="30" t="n">
        <v>0</v>
      </c>
      <c r="K71" s="26" t="n">
        <f aca="false">IF(I71=0,0,I71+J71)</f>
        <v>1</v>
      </c>
      <c r="L71" s="26" t="n">
        <f aca="false">INDEX(Prix!$E$5:$E$79,MATCH($A71,Prix!$A$5:$A$79,0))</f>
        <v>1</v>
      </c>
      <c r="M71" s="26" t="n">
        <f aca="false">IF(K71=0,0,ROUNDUP(K71/L71,0))</f>
        <v>1</v>
      </c>
      <c r="N71" s="31" t="n">
        <f aca="false">IF(INDEX(Prix!$D$5:$D$79,MATCH($A71,Prix!$A$5:$A$79,0))="","",INDEX(Prix!$D$5:$D$79,MATCH($A71,Prix!$A$5:$A$79,0)))</f>
        <v>55</v>
      </c>
      <c r="O71" s="31" t="n">
        <f aca="false">IF(N71="","",M71*N71)</f>
        <v>55</v>
      </c>
      <c r="P71" s="26" t="str">
        <f aca="false">INDEX(Prix!$C$5:$C$79,MATCH($A71,Prix!$A$5:$A$79,0))</f>
        <v>Shop4Makers</v>
      </c>
      <c r="Q71" s="26" t="str">
        <f aca="false">INDEX(Prix!$H$5:$H$79,MATCH($A71,Prix!$A$5:$A$79,0))</f>
        <v>Maroc</v>
      </c>
      <c r="R71" s="27" t="s">
        <v>220</v>
      </c>
      <c r="S71" s="32" t="s">
        <v>60</v>
      </c>
    </row>
    <row r="72" customFormat="false" ht="15" hidden="false" customHeight="false" outlineLevel="0" collapsed="false">
      <c r="A72" s="25" t="s">
        <v>221</v>
      </c>
      <c r="B72" s="26" t="s">
        <v>212</v>
      </c>
      <c r="C72" s="27" t="s">
        <v>222</v>
      </c>
      <c r="D72" s="26" t="s">
        <v>58</v>
      </c>
      <c r="E72" s="28" t="n">
        <f aca="false">SUMIFS(msp1!$F:$F,msp1!$A:$A,$A72,msp1!$G:$G,$D72)</f>
        <v>1</v>
      </c>
      <c r="F72" s="28" t="n">
        <f aca="false">SUMIFS(n3pp!$F:$F,n3pp!$A:$A,$A72,n3pp!$G:$G,$D72)</f>
        <v>0</v>
      </c>
      <c r="G72" s="28" t="n">
        <f aca="false">SUMIFS('ffp5cs 230V'!$F:$F,'ffp5cs 230V'!$A:$A,$A72,'ffp5cs 230V'!$G:$G,$D72)</f>
        <v>0</v>
      </c>
      <c r="H72" s="28" t="n">
        <f aca="false">SUMIFS('ffp5cs 12V'!$F:$F,'ffp5cs 12V'!$A:$A,$A72,'ffp5cs 12V'!$G:$G,$D72)</f>
        <v>0</v>
      </c>
      <c r="I72" s="29" t="n">
        <f aca="false">SUM(E72:H72)</f>
        <v>1</v>
      </c>
      <c r="J72" s="30" t="n">
        <v>0</v>
      </c>
      <c r="K72" s="26" t="n">
        <f aca="false">IF(I72=0,0,I72+J72)</f>
        <v>1</v>
      </c>
      <c r="L72" s="26" t="n">
        <f aca="false">INDEX(Prix!$E$5:$E$79,MATCH($A72,Prix!$A$5:$A$79,0))</f>
        <v>1</v>
      </c>
      <c r="M72" s="26" t="n">
        <f aca="false">IF(K72=0,0,ROUNDUP(K72/L72,0))</f>
        <v>1</v>
      </c>
      <c r="N72" s="31" t="n">
        <f aca="false">IF(INDEX(Prix!$D$5:$D$79,MATCH($A72,Prix!$A$5:$A$79,0))="","",INDEX(Prix!$D$5:$D$79,MATCH($A72,Prix!$A$5:$A$79,0)))</f>
        <v>9</v>
      </c>
      <c r="O72" s="31" t="n">
        <f aca="false">IF(N72="","",M72*N72)</f>
        <v>9</v>
      </c>
      <c r="P72" s="26" t="str">
        <f aca="false">INDEX(Prix!$C$5:$C$79,MATCH($A72,Prix!$A$5:$A$79,0))</f>
        <v>MicroPlanet</v>
      </c>
      <c r="Q72" s="26" t="str">
        <f aca="false">INDEX(Prix!$H$5:$H$79,MATCH($A72,Prix!$A$5:$A$79,0))</f>
        <v>Maroc</v>
      </c>
      <c r="R72" s="27"/>
      <c r="S72" s="32" t="s">
        <v>60</v>
      </c>
    </row>
    <row r="73" customFormat="false" ht="35.05" hidden="false" customHeight="false" outlineLevel="0" collapsed="false">
      <c r="A73" s="25" t="s">
        <v>223</v>
      </c>
      <c r="B73" s="26" t="s">
        <v>212</v>
      </c>
      <c r="C73" s="27" t="s">
        <v>224</v>
      </c>
      <c r="D73" s="26" t="s">
        <v>58</v>
      </c>
      <c r="E73" s="28" t="n">
        <f aca="false">SUMIFS(msp1!$F:$F,msp1!$A:$A,$A73,msp1!$G:$G,$D73)</f>
        <v>1</v>
      </c>
      <c r="F73" s="28" t="n">
        <f aca="false">SUMIFS(n3pp!$F:$F,n3pp!$A:$A,$A73,n3pp!$G:$G,$D73)</f>
        <v>0</v>
      </c>
      <c r="G73" s="28" t="n">
        <f aca="false">SUMIFS('ffp5cs 230V'!$F:$F,'ffp5cs 230V'!$A:$A,$A73,'ffp5cs 230V'!$G:$G,$D73)</f>
        <v>0</v>
      </c>
      <c r="H73" s="28" t="n">
        <f aca="false">SUMIFS('ffp5cs 12V'!$F:$F,'ffp5cs 12V'!$A:$A,$A73,'ffp5cs 12V'!$G:$G,$D73)</f>
        <v>0</v>
      </c>
      <c r="I73" s="29" t="n">
        <f aca="false">SUM(E73:H73)</f>
        <v>1</v>
      </c>
      <c r="J73" s="30" t="n">
        <v>0</v>
      </c>
      <c r="K73" s="26" t="n">
        <f aca="false">IF(I73=0,0,I73+J73)</f>
        <v>1</v>
      </c>
      <c r="L73" s="26" t="n">
        <f aca="false">INDEX(Prix!$E$5:$E$79,MATCH($A73,Prix!$A$5:$A$79,0))</f>
        <v>1</v>
      </c>
      <c r="M73" s="26" t="n">
        <f aca="false">IF(K73=0,0,ROUNDUP(K73/L73,0))</f>
        <v>1</v>
      </c>
      <c r="N73" s="31" t="n">
        <f aca="false">IF(INDEX(Prix!$D$5:$D$79,MATCH($A73,Prix!$A$5:$A$79,0))="","",INDEX(Prix!$D$5:$D$79,MATCH($A73,Prix!$A$5:$A$79,0)))</f>
        <v>110</v>
      </c>
      <c r="O73" s="31" t="n">
        <f aca="false">IF(N73="","",M73*N73)</f>
        <v>110</v>
      </c>
      <c r="P73" s="26" t="str">
        <f aca="false">INDEX(Prix!$C$5:$C$79,MATCH($A73,Prix!$A$5:$A$79,0))</f>
        <v>Jumia.ma (Safe Buys)</v>
      </c>
      <c r="Q73" s="26" t="str">
        <f aca="false">INDEX(Prix!$H$5:$H$79,MATCH($A73,Prix!$A$5:$A$79,0))</f>
        <v>Maroc</v>
      </c>
      <c r="R73" s="27" t="s">
        <v>225</v>
      </c>
      <c r="S73" s="32" t="s">
        <v>60</v>
      </c>
    </row>
    <row r="74" customFormat="false" ht="23.85" hidden="false" customHeight="false" outlineLevel="0" collapsed="false">
      <c r="A74" s="25" t="s">
        <v>226</v>
      </c>
      <c r="B74" s="26" t="s">
        <v>212</v>
      </c>
      <c r="C74" s="27" t="s">
        <v>227</v>
      </c>
      <c r="D74" s="26" t="s">
        <v>58</v>
      </c>
      <c r="E74" s="28" t="n">
        <f aca="false">SUMIFS(msp1!$F:$F,msp1!$A:$A,$A74,msp1!$G:$G,$D74)</f>
        <v>0</v>
      </c>
      <c r="F74" s="28" t="n">
        <f aca="false">SUMIFS(n3pp!$F:$F,n3pp!$A:$A,$A74,n3pp!$G:$G,$D74)</f>
        <v>1</v>
      </c>
      <c r="G74" s="28" t="n">
        <f aca="false">SUMIFS('ffp5cs 230V'!$F:$F,'ffp5cs 230V'!$A:$A,$A74,'ffp5cs 230V'!$G:$G,$D74)</f>
        <v>0</v>
      </c>
      <c r="H74" s="28" t="n">
        <f aca="false">SUMIFS('ffp5cs 12V'!$F:$F,'ffp5cs 12V'!$A:$A,$A74,'ffp5cs 12V'!$G:$G,$D74)</f>
        <v>0</v>
      </c>
      <c r="I74" s="29" t="n">
        <f aca="false">SUM(E74:H74)</f>
        <v>1</v>
      </c>
      <c r="J74" s="30" t="n">
        <v>0</v>
      </c>
      <c r="K74" s="26" t="n">
        <f aca="false">IF(I74=0,0,I74+J74)</f>
        <v>1</v>
      </c>
      <c r="L74" s="26" t="n">
        <f aca="false">INDEX(Prix!$E$5:$E$79,MATCH($A74,Prix!$A$5:$A$79,0))</f>
        <v>1</v>
      </c>
      <c r="M74" s="26" t="n">
        <f aca="false">IF(K74=0,0,ROUNDUP(K74/L74,0))</f>
        <v>1</v>
      </c>
      <c r="N74" s="31" t="n">
        <f aca="false">IF(INDEX(Prix!$D$5:$D$79,MATCH($A74,Prix!$A$5:$A$79,0))="","",INDEX(Prix!$D$5:$D$79,MATCH($A74,Prix!$A$5:$A$79,0)))</f>
        <v>50</v>
      </c>
      <c r="O74" s="31" t="n">
        <f aca="false">IF(N74="","",M74*N74)</f>
        <v>50</v>
      </c>
      <c r="P74" s="26" t="str">
        <f aca="false">INDEX(Prix!$C$5:$C$79,MATCH($A74,Prix!$A$5:$A$79,0))</f>
        <v>Megma</v>
      </c>
      <c r="Q74" s="26" t="str">
        <f aca="false">INDEX(Prix!$H$5:$H$79,MATCH($A74,Prix!$A$5:$A$79,0))</f>
        <v>Maroc</v>
      </c>
      <c r="R74" s="27" t="s">
        <v>228</v>
      </c>
      <c r="S74" s="32" t="s">
        <v>60</v>
      </c>
    </row>
    <row r="75" customFormat="false" ht="15" hidden="false" customHeight="false" outlineLevel="0" collapsed="false">
      <c r="A75" s="25" t="s">
        <v>229</v>
      </c>
      <c r="B75" s="26" t="s">
        <v>212</v>
      </c>
      <c r="C75" s="27" t="s">
        <v>230</v>
      </c>
      <c r="D75" s="26" t="s">
        <v>58</v>
      </c>
      <c r="E75" s="28" t="n">
        <f aca="false">SUMIFS(msp1!$F:$F,msp1!$A:$A,$A75,msp1!$G:$G,$D75)</f>
        <v>0</v>
      </c>
      <c r="F75" s="28" t="n">
        <f aca="false">SUMIFS(n3pp!$F:$F,n3pp!$A:$A,$A75,n3pp!$G:$G,$D75)</f>
        <v>1</v>
      </c>
      <c r="G75" s="28" t="n">
        <f aca="false">SUMIFS('ffp5cs 230V'!$F:$F,'ffp5cs 230V'!$A:$A,$A75,'ffp5cs 230V'!$G:$G,$D75)</f>
        <v>0</v>
      </c>
      <c r="H75" s="28" t="n">
        <f aca="false">SUMIFS('ffp5cs 12V'!$F:$F,'ffp5cs 12V'!$A:$A,$A75,'ffp5cs 12V'!$G:$G,$D75)</f>
        <v>0</v>
      </c>
      <c r="I75" s="29" t="n">
        <f aca="false">SUM(E75:H75)</f>
        <v>1</v>
      </c>
      <c r="J75" s="30" t="n">
        <v>0</v>
      </c>
      <c r="K75" s="26" t="n">
        <f aca="false">IF(I75=0,0,I75+J75)</f>
        <v>1</v>
      </c>
      <c r="L75" s="26" t="n">
        <f aca="false">INDEX(Prix!$E$5:$E$79,MATCH($A75,Prix!$A$5:$A$79,0))</f>
        <v>1</v>
      </c>
      <c r="M75" s="26" t="n">
        <f aca="false">IF(K75=0,0,ROUNDUP(K75/L75,0))</f>
        <v>1</v>
      </c>
      <c r="N75" s="31" t="n">
        <f aca="false">IF(INDEX(Prix!$D$5:$D$79,MATCH($A75,Prix!$A$5:$A$79,0))="","",INDEX(Prix!$D$5:$D$79,MATCH($A75,Prix!$A$5:$A$79,0)))</f>
        <v>35</v>
      </c>
      <c r="O75" s="31" t="n">
        <f aca="false">IF(N75="","",M75*N75)</f>
        <v>35</v>
      </c>
      <c r="P75" s="26" t="str">
        <f aca="false">INDEX(Prix!$C$5:$C$79,MATCH($A75,Prix!$A$5:$A$79,0))</f>
        <v>Moussasoft</v>
      </c>
      <c r="Q75" s="26" t="str">
        <f aca="false">INDEX(Prix!$H$5:$H$79,MATCH($A75,Prix!$A$5:$A$79,0))</f>
        <v>Maroc</v>
      </c>
      <c r="R75" s="27" t="s">
        <v>231</v>
      </c>
      <c r="S75" s="32" t="s">
        <v>60</v>
      </c>
    </row>
    <row r="76" customFormat="false" ht="15" hidden="false" customHeight="false" outlineLevel="0" collapsed="false">
      <c r="A76" s="25" t="s">
        <v>232</v>
      </c>
      <c r="B76" s="26" t="s">
        <v>212</v>
      </c>
      <c r="C76" s="27" t="s">
        <v>233</v>
      </c>
      <c r="D76" s="26" t="s">
        <v>58</v>
      </c>
      <c r="E76" s="28" t="n">
        <f aca="false">SUMIFS(msp1!$F:$F,msp1!$A:$A,$A76,msp1!$G:$G,$D76)</f>
        <v>0</v>
      </c>
      <c r="F76" s="28" t="n">
        <f aca="false">SUMIFS(n3pp!$F:$F,n3pp!$A:$A,$A76,n3pp!$G:$G,$D76)</f>
        <v>0</v>
      </c>
      <c r="G76" s="28" t="n">
        <f aca="false">SUMIFS('ffp5cs 230V'!$F:$F,'ffp5cs 230V'!$A:$A,$A76,'ffp5cs 230V'!$G:$G,$D76)</f>
        <v>0</v>
      </c>
      <c r="H76" s="28" t="n">
        <f aca="false">SUMIFS('ffp5cs 12V'!$F:$F,'ffp5cs 12V'!$A:$A,$A76,'ffp5cs 12V'!$G:$G,$D76)</f>
        <v>1</v>
      </c>
      <c r="I76" s="29" t="n">
        <f aca="false">SUM(E76:H76)</f>
        <v>1</v>
      </c>
      <c r="J76" s="30" t="n">
        <v>0</v>
      </c>
      <c r="K76" s="26" t="n">
        <f aca="false">IF(I76=0,0,I76+J76)</f>
        <v>1</v>
      </c>
      <c r="L76" s="26" t="n">
        <f aca="false">INDEX(Prix!$E$5:$E$79,MATCH($A76,Prix!$A$5:$A$79,0))</f>
        <v>1</v>
      </c>
      <c r="M76" s="26" t="n">
        <f aca="false">IF(K76=0,0,ROUNDUP(K76/L76,0))</f>
        <v>1</v>
      </c>
      <c r="N76" s="31" t="n">
        <f aca="false">IF(INDEX(Prix!$D$5:$D$79,MATCH($A76,Prix!$A$5:$A$79,0))="","",INDEX(Prix!$D$5:$D$79,MATCH($A76,Prix!$A$5:$A$79,0)))</f>
        <v>25</v>
      </c>
      <c r="O76" s="31" t="n">
        <f aca="false">IF(N76="","",M76*N76)</f>
        <v>25</v>
      </c>
      <c r="P76" s="26" t="str">
        <f aca="false">INDEX(Prix!$C$5:$C$79,MATCH($A76,Prix!$A$5:$A$79,0))</f>
        <v>Shop4Makers</v>
      </c>
      <c r="Q76" s="26" t="str">
        <f aca="false">INDEX(Prix!$H$5:$H$79,MATCH($A76,Prix!$A$5:$A$79,0))</f>
        <v>Maroc</v>
      </c>
      <c r="R76" s="27" t="s">
        <v>234</v>
      </c>
      <c r="S76" s="32" t="s">
        <v>60</v>
      </c>
    </row>
    <row r="77" customFormat="false" ht="23.85" hidden="false" customHeight="false" outlineLevel="0" collapsed="false">
      <c r="A77" s="25" t="s">
        <v>235</v>
      </c>
      <c r="B77" s="26" t="s">
        <v>212</v>
      </c>
      <c r="C77" s="27" t="s">
        <v>236</v>
      </c>
      <c r="D77" s="26" t="s">
        <v>58</v>
      </c>
      <c r="E77" s="28" t="n">
        <f aca="false">SUMIFS(msp1!$F:$F,msp1!$A:$A,$A77,msp1!$G:$G,$D77)</f>
        <v>0</v>
      </c>
      <c r="F77" s="28" t="n">
        <f aca="false">SUMIFS(n3pp!$F:$F,n3pp!$A:$A,$A77,n3pp!$G:$G,$D77)</f>
        <v>0</v>
      </c>
      <c r="G77" s="28" t="n">
        <f aca="false">SUMIFS('ffp5cs 230V'!$F:$F,'ffp5cs 230V'!$A:$A,$A77,'ffp5cs 230V'!$G:$G,$D77)</f>
        <v>0</v>
      </c>
      <c r="H77" s="28" t="n">
        <f aca="false">SUMIFS('ffp5cs 12V'!$F:$F,'ffp5cs 12V'!$A:$A,$A77,'ffp5cs 12V'!$G:$G,$D77)</f>
        <v>1</v>
      </c>
      <c r="I77" s="29" t="n">
        <f aca="false">SUM(E77:H77)</f>
        <v>1</v>
      </c>
      <c r="J77" s="30" t="n">
        <v>1</v>
      </c>
      <c r="K77" s="26" t="n">
        <f aca="false">IF(I77=0,0,I77+J77)</f>
        <v>2</v>
      </c>
      <c r="L77" s="26" t="n">
        <f aca="false">INDEX(Prix!$E$5:$E$79,MATCH($A77,Prix!$A$5:$A$79,0))</f>
        <v>1</v>
      </c>
      <c r="M77" s="26" t="n">
        <f aca="false">IF(K77=0,0,ROUNDUP(K77/L77,0))</f>
        <v>2</v>
      </c>
      <c r="N77" s="31" t="str">
        <f aca="false">IF(INDEX(Prix!$D$5:$D$79,MATCH($A77,Prix!$A$5:$A$79,0))="","",INDEX(Prix!$D$5:$D$79,MATCH($A77,Prix!$A$5:$A$79,0)))</f>
        <v/>
      </c>
      <c r="O77" s="31" t="str">
        <f aca="false">IF(N77="","",M77*N77)</f>
        <v/>
      </c>
      <c r="P77" s="26" t="str">
        <f aca="false">INDEX(Prix!$C$5:$C$79,MATCH($A77,Prix!$A$5:$A$79,0))</f>
        <v>Accessoires auto</v>
      </c>
      <c r="Q77" s="26" t="str">
        <f aca="false">INDEX(Prix!$H$5:$H$79,MATCH($A77,Prix!$A$5:$A$79,0))</f>
        <v>Maroc</v>
      </c>
      <c r="R77" s="27" t="s">
        <v>237</v>
      </c>
      <c r="S77" s="26"/>
    </row>
    <row r="78" customFormat="false" ht="23.85" hidden="false" customHeight="false" outlineLevel="0" collapsed="false">
      <c r="A78" s="49" t="s">
        <v>238</v>
      </c>
      <c r="B78" s="50" t="s">
        <v>212</v>
      </c>
      <c r="C78" s="51" t="s">
        <v>239</v>
      </c>
      <c r="D78" s="50" t="s">
        <v>214</v>
      </c>
      <c r="E78" s="52" t="n">
        <f aca="false">SUMIFS(msp1!$F:$F,msp1!$A:$A,$A78,msp1!$G:$G,$D78)</f>
        <v>0</v>
      </c>
      <c r="F78" s="52" t="n">
        <f aca="false">SUMIFS(n3pp!$F:$F,n3pp!$A:$A,$A78,n3pp!$G:$G,$D78)</f>
        <v>0</v>
      </c>
      <c r="G78" s="52" t="n">
        <f aca="false">SUMIFS('ffp5cs 230V'!$F:$F,'ffp5cs 230V'!$A:$A,$A78,'ffp5cs 230V'!$G:$G,$D78)</f>
        <v>0</v>
      </c>
      <c r="H78" s="52" t="n">
        <f aca="false">SUMIFS('ffp5cs 12V'!$F:$F,'ffp5cs 12V'!$A:$A,$A78,'ffp5cs 12V'!$G:$G,$D78)</f>
        <v>1</v>
      </c>
      <c r="I78" s="53" t="n">
        <f aca="false">SUM(E78:H78)</f>
        <v>1</v>
      </c>
      <c r="J78" s="54" t="n">
        <v>0</v>
      </c>
      <c r="K78" s="50" t="n">
        <f aca="false">IF(I78=0,0,I78+J78)</f>
        <v>1</v>
      </c>
      <c r="L78" s="50" t="n">
        <f aca="false">INDEX(Prix!$E$5:$E$79,MATCH($A78,Prix!$A$5:$A$79,0))</f>
        <v>1</v>
      </c>
      <c r="M78" s="50" t="n">
        <f aca="false">IF(K78=0,0,ROUNDUP(K78/L78,0))</f>
        <v>1</v>
      </c>
      <c r="N78" s="55" t="n">
        <f aca="false">IF(INDEX(Prix!$D$5:$D$79,MATCH($A78,Prix!$A$5:$A$79,0))="","",INDEX(Prix!$D$5:$D$79,MATCH($A78,Prix!$A$5:$A$79,0)))</f>
        <v>490</v>
      </c>
      <c r="O78" s="55" t="n">
        <f aca="false">IF(N78="","",M78*N78)</f>
        <v>490</v>
      </c>
      <c r="P78" s="50" t="str">
        <f aca="false">INDEX(Prix!$C$5:$C$79,MATCH($A78,Prix!$A$5:$A$79,0))</f>
        <v>Jumia.ma</v>
      </c>
      <c r="Q78" s="50" t="str">
        <f aca="false">INDEX(Prix!$H$5:$H$79,MATCH($A78,Prix!$A$5:$A$79,0))</f>
        <v>Maroc</v>
      </c>
      <c r="R78" s="51" t="s">
        <v>240</v>
      </c>
      <c r="S78" s="56" t="s">
        <v>60</v>
      </c>
    </row>
    <row r="79" customFormat="false" ht="15" hidden="false" customHeight="false" outlineLevel="0" collapsed="false">
      <c r="A79" s="49" t="s">
        <v>241</v>
      </c>
      <c r="B79" s="50" t="s">
        <v>212</v>
      </c>
      <c r="C79" s="51" t="s">
        <v>242</v>
      </c>
      <c r="D79" s="50" t="s">
        <v>214</v>
      </c>
      <c r="E79" s="52" t="n">
        <f aca="false">SUMIFS(msp1!$F:$F,msp1!$A:$A,$A79,msp1!$G:$G,$D79)</f>
        <v>0</v>
      </c>
      <c r="F79" s="52" t="n">
        <f aca="false">SUMIFS(n3pp!$F:$F,n3pp!$A:$A,$A79,n3pp!$G:$G,$D79)</f>
        <v>0</v>
      </c>
      <c r="G79" s="52" t="n">
        <f aca="false">SUMIFS('ffp5cs 230V'!$F:$F,'ffp5cs 230V'!$A:$A,$A79,'ffp5cs 230V'!$G:$G,$D79)</f>
        <v>0</v>
      </c>
      <c r="H79" s="52" t="n">
        <f aca="false">SUMIFS('ffp5cs 12V'!$F:$F,'ffp5cs 12V'!$A:$A,$A79,'ffp5cs 12V'!$G:$G,$D79)</f>
        <v>1</v>
      </c>
      <c r="I79" s="53" t="n">
        <f aca="false">SUM(E79:H79)</f>
        <v>1</v>
      </c>
      <c r="J79" s="54" t="n">
        <v>0</v>
      </c>
      <c r="K79" s="50" t="n">
        <f aca="false">IF(I79=0,0,I79+J79)</f>
        <v>1</v>
      </c>
      <c r="L79" s="50" t="n">
        <f aca="false">INDEX(Prix!$E$5:$E$79,MATCH($A79,Prix!$A$5:$A$79,0))</f>
        <v>1</v>
      </c>
      <c r="M79" s="50" t="n">
        <f aca="false">IF(K79=0,0,ROUNDUP(K79/L79,0))</f>
        <v>1</v>
      </c>
      <c r="N79" s="55" t="n">
        <f aca="false">IF(INDEX(Prix!$D$5:$D$79,MATCH($A79,Prix!$A$5:$A$79,0))="","",INDEX(Prix!$D$5:$D$79,MATCH($A79,Prix!$A$5:$A$79,0)))</f>
        <v>299</v>
      </c>
      <c r="O79" s="55" t="n">
        <f aca="false">IF(N79="","",M79*N79)</f>
        <v>299</v>
      </c>
      <c r="P79" s="50" t="str">
        <f aca="false">INDEX(Prix!$C$5:$C$79,MATCH($A79,Prix!$A$5:$A$79,0))</f>
        <v>Jumia.ma (AM NEWS)</v>
      </c>
      <c r="Q79" s="50" t="str">
        <f aca="false">INDEX(Prix!$H$5:$H$79,MATCH($A79,Prix!$A$5:$A$79,0))</f>
        <v>Maroc</v>
      </c>
      <c r="R79" s="51" t="s">
        <v>243</v>
      </c>
      <c r="S79" s="56" t="s">
        <v>60</v>
      </c>
    </row>
    <row r="80" customFormat="false" ht="15" hidden="false" customHeight="false" outlineLevel="0" collapsed="false">
      <c r="A80" s="49" t="s">
        <v>244</v>
      </c>
      <c r="B80" s="50" t="s">
        <v>212</v>
      </c>
      <c r="C80" s="51" t="s">
        <v>245</v>
      </c>
      <c r="D80" s="50" t="s">
        <v>214</v>
      </c>
      <c r="E80" s="52" t="n">
        <f aca="false">SUMIFS(msp1!$F:$F,msp1!$A:$A,$A80,msp1!$G:$G,$D80)</f>
        <v>0</v>
      </c>
      <c r="F80" s="52" t="n">
        <f aca="false">SUMIFS(n3pp!$F:$F,n3pp!$A:$A,$A80,n3pp!$G:$G,$D80)</f>
        <v>0</v>
      </c>
      <c r="G80" s="52" t="n">
        <f aca="false">SUMIFS('ffp5cs 230V'!$F:$F,'ffp5cs 230V'!$A:$A,$A80,'ffp5cs 230V'!$G:$G,$D80)</f>
        <v>0</v>
      </c>
      <c r="H80" s="52" t="n">
        <f aca="false">SUMIFS('ffp5cs 12V'!$F:$F,'ffp5cs 12V'!$A:$A,$A80,'ffp5cs 12V'!$G:$G,$D80)</f>
        <v>1</v>
      </c>
      <c r="I80" s="53" t="n">
        <f aca="false">SUM(E80:H80)</f>
        <v>1</v>
      </c>
      <c r="J80" s="54" t="n">
        <v>0</v>
      </c>
      <c r="K80" s="50" t="n">
        <f aca="false">IF(I80=0,0,I80+J80)</f>
        <v>1</v>
      </c>
      <c r="L80" s="50" t="n">
        <f aca="false">INDEX(Prix!$E$5:$E$79,MATCH($A80,Prix!$A$5:$A$79,0))</f>
        <v>1</v>
      </c>
      <c r="M80" s="50" t="n">
        <f aca="false">IF(K80=0,0,ROUNDUP(K80/L80,0))</f>
        <v>1</v>
      </c>
      <c r="N80" s="55" t="n">
        <f aca="false">IF(INDEX(Prix!$D$5:$D$79,MATCH($A80,Prix!$A$5:$A$79,0))="","",INDEX(Prix!$D$5:$D$79,MATCH($A80,Prix!$A$5:$A$79,0)))</f>
        <v>179</v>
      </c>
      <c r="O80" s="55" t="n">
        <f aca="false">IF(N80="","",M80*N80)</f>
        <v>179</v>
      </c>
      <c r="P80" s="50" t="str">
        <f aca="false">INDEX(Prix!$C$5:$C$79,MATCH($A80,Prix!$A$5:$A$79,0))</f>
        <v>Jumia.ma (XARIUM TECH)</v>
      </c>
      <c r="Q80" s="50" t="str">
        <f aca="false">INDEX(Prix!$H$5:$H$79,MATCH($A80,Prix!$A$5:$A$79,0))</f>
        <v>Maroc</v>
      </c>
      <c r="R80" s="51" t="s">
        <v>246</v>
      </c>
      <c r="S80" s="56" t="s">
        <v>60</v>
      </c>
    </row>
    <row r="81" customFormat="false" ht="23.85" hidden="false" customHeight="false" outlineLevel="0" collapsed="false">
      <c r="A81" s="25" t="s">
        <v>247</v>
      </c>
      <c r="B81" s="26" t="s">
        <v>212</v>
      </c>
      <c r="C81" s="27" t="s">
        <v>248</v>
      </c>
      <c r="D81" s="26" t="s">
        <v>58</v>
      </c>
      <c r="E81" s="28" t="n">
        <f aca="false">SUMIFS(msp1!$F:$F,msp1!$A:$A,$A81,msp1!$G:$G,$D81)</f>
        <v>0</v>
      </c>
      <c r="F81" s="28" t="n">
        <f aca="false">SUMIFS(n3pp!$F:$F,n3pp!$A:$A,$A81,n3pp!$G:$G,$D81)</f>
        <v>0</v>
      </c>
      <c r="G81" s="28" t="n">
        <f aca="false">SUMIFS('ffp5cs 230V'!$F:$F,'ffp5cs 230V'!$A:$A,$A81,'ffp5cs 230V'!$G:$G,$D81)</f>
        <v>1</v>
      </c>
      <c r="H81" s="28" t="n">
        <f aca="false">SUMIFS('ffp5cs 12V'!$F:$F,'ffp5cs 12V'!$A:$A,$A81,'ffp5cs 12V'!$G:$G,$D81)</f>
        <v>0</v>
      </c>
      <c r="I81" s="29" t="n">
        <f aca="false">SUM(E81:H81)</f>
        <v>1</v>
      </c>
      <c r="J81" s="30" t="n">
        <v>0</v>
      </c>
      <c r="K81" s="26" t="n">
        <f aca="false">IF(I81=0,0,I81+J81)</f>
        <v>1</v>
      </c>
      <c r="L81" s="26" t="n">
        <f aca="false">INDEX(Prix!$E$5:$E$79,MATCH($A81,Prix!$A$5:$A$79,0))</f>
        <v>1</v>
      </c>
      <c r="M81" s="26" t="n">
        <f aca="false">IF(K81=0,0,ROUNDUP(K81/L81,0))</f>
        <v>1</v>
      </c>
      <c r="N81" s="31" t="n">
        <f aca="false">IF(INDEX(Prix!$D$5:$D$79,MATCH($A81,Prix!$A$5:$A$79,0))="","",INDEX(Prix!$D$5:$D$79,MATCH($A81,Prix!$A$5:$A$79,0)))</f>
        <v>12</v>
      </c>
      <c r="O81" s="31" t="n">
        <f aca="false">IF(N81="","",M81*N81)</f>
        <v>12</v>
      </c>
      <c r="P81" s="26" t="str">
        <f aca="false">INDEX(Prix!$C$5:$C$79,MATCH($A81,Prix!$A$5:$A$79,0))</f>
        <v>La-Librairie.ma</v>
      </c>
      <c r="Q81" s="26" t="str">
        <f aca="false">INDEX(Prix!$H$5:$H$79,MATCH($A81,Prix!$A$5:$A$79,0))</f>
        <v>Maroc</v>
      </c>
      <c r="R81" s="27" t="s">
        <v>249</v>
      </c>
      <c r="S81" s="32" t="s">
        <v>60</v>
      </c>
    </row>
    <row r="82" customFormat="false" ht="23.85" hidden="false" customHeight="false" outlineLevel="0" collapsed="false">
      <c r="A82" s="17" t="s">
        <v>250</v>
      </c>
      <c r="B82" s="18" t="s">
        <v>251</v>
      </c>
      <c r="C82" s="19" t="s">
        <v>252</v>
      </c>
      <c r="D82" s="18" t="s">
        <v>58</v>
      </c>
      <c r="E82" s="20" t="n">
        <f aca="false">SUMIFS(msp1!$F:$F,msp1!$A:$A,$A82,msp1!$G:$G,$D82)</f>
        <v>7</v>
      </c>
      <c r="F82" s="20" t="n">
        <f aca="false">SUMIFS(n3pp!$F:$F,n3pp!$A:$A,$A82,n3pp!$G:$G,$D82)</f>
        <v>7</v>
      </c>
      <c r="G82" s="20" t="n">
        <f aca="false">SUMIFS('ffp5cs 230V'!$F:$F,'ffp5cs 230V'!$A:$A,$A82,'ffp5cs 230V'!$G:$G,$D82)</f>
        <v>7</v>
      </c>
      <c r="H82" s="20" t="n">
        <f aca="false">SUMIFS('ffp5cs 12V'!$F:$F,'ffp5cs 12V'!$A:$A,$A82,'ffp5cs 12V'!$G:$G,$D82)</f>
        <v>7</v>
      </c>
      <c r="I82" s="21" t="n">
        <f aca="false">SUM(E82:H82)</f>
        <v>28</v>
      </c>
      <c r="J82" s="22" t="n">
        <v>4</v>
      </c>
      <c r="K82" s="18" t="n">
        <f aca="false">IF(I82=0,0,I82+J82)</f>
        <v>32</v>
      </c>
      <c r="L82" s="18" t="n">
        <f aca="false">INDEX(Prix!$E$5:$E$79,MATCH($A82,Prix!$A$5:$A$79,0))</f>
        <v>60</v>
      </c>
      <c r="M82" s="18" t="n">
        <f aca="false">IF(K82=0,0,ROUNDUP(K82/L82,0))</f>
        <v>1</v>
      </c>
      <c r="N82" s="23" t="n">
        <f aca="false">IF(INDEX(Prix!$D$5:$D$79,MATCH($A82,Prix!$A$5:$A$79,0))="","",INDEX(Prix!$D$5:$D$79,MATCH($A82,Prix!$A$5:$A$79,0)))</f>
        <v>120</v>
      </c>
      <c r="O82" s="23" t="n">
        <f aca="false">IF(N82="","",M82*N82)</f>
        <v>120</v>
      </c>
      <c r="P82" s="18" t="str">
        <f aca="false">INDEX(Prix!$C$5:$C$79,MATCH($A82,Prix!$A$5:$A$79,0))</f>
        <v>Dsindustrie</v>
      </c>
      <c r="Q82" s="18" t="str">
        <f aca="false">INDEX(Prix!$H$5:$H$79,MATCH($A82,Prix!$A$5:$A$79,0))</f>
        <v>Maroc</v>
      </c>
      <c r="R82" s="19" t="s">
        <v>253</v>
      </c>
      <c r="S82" s="24" t="s">
        <v>60</v>
      </c>
    </row>
    <row r="83" customFormat="false" ht="15" hidden="false" customHeight="false" outlineLevel="0" collapsed="false">
      <c r="A83" s="17" t="s">
        <v>254</v>
      </c>
      <c r="B83" s="18" t="s">
        <v>251</v>
      </c>
      <c r="C83" s="19" t="s">
        <v>255</v>
      </c>
      <c r="D83" s="18" t="s">
        <v>58</v>
      </c>
      <c r="E83" s="20" t="n">
        <f aca="false">SUMIFS(msp1!$F:$F,msp1!$A:$A,$A83,msp1!$G:$G,$D83)</f>
        <v>7</v>
      </c>
      <c r="F83" s="20" t="n">
        <f aca="false">SUMIFS(n3pp!$F:$F,n3pp!$A:$A,$A83,n3pp!$G:$G,$D83)</f>
        <v>7</v>
      </c>
      <c r="G83" s="20" t="n">
        <f aca="false">SUMIFS('ffp5cs 230V'!$F:$F,'ffp5cs 230V'!$A:$A,$A83,'ffp5cs 230V'!$G:$G,$D83)</f>
        <v>7</v>
      </c>
      <c r="H83" s="20" t="n">
        <f aca="false">SUMIFS('ffp5cs 12V'!$F:$F,'ffp5cs 12V'!$A:$A,$A83,'ffp5cs 12V'!$G:$G,$D83)</f>
        <v>7</v>
      </c>
      <c r="I83" s="21" t="n">
        <f aca="false">SUM(E83:H83)</f>
        <v>28</v>
      </c>
      <c r="J83" s="22" t="n">
        <v>4</v>
      </c>
      <c r="K83" s="18" t="n">
        <f aca="false">IF(I83=0,0,I83+J83)</f>
        <v>32</v>
      </c>
      <c r="L83" s="18" t="n">
        <f aca="false">INDEX(Prix!$E$5:$E$79,MATCH($A83,Prix!$A$5:$A$79,0))</f>
        <v>1</v>
      </c>
      <c r="M83" s="18" t="n">
        <f aca="false">IF(K83=0,0,ROUNDUP(K83/L83,0))</f>
        <v>32</v>
      </c>
      <c r="N83" s="23" t="n">
        <f aca="false">IF(INDEX(Prix!$D$5:$D$79,MATCH($A83,Prix!$A$5:$A$79,0))="","",INDEX(Prix!$D$5:$D$79,MATCH($A83,Prix!$A$5:$A$79,0)))</f>
        <v>0</v>
      </c>
      <c r="O83" s="23" t="n">
        <f aca="false">IF(N83="","",M83*N83)</f>
        <v>0</v>
      </c>
      <c r="P83" s="18" t="str">
        <f aca="false">INDEX(Prix!$C$5:$C$79,MATCH($A83,Prix!$A$5:$A$79,0))</f>
        <v>Dsindustrie</v>
      </c>
      <c r="Q83" s="18" t="str">
        <f aca="false">INDEX(Prix!$H$5:$H$79,MATCH($A83,Prix!$A$5:$A$79,0))</f>
        <v>Maroc</v>
      </c>
      <c r="R83" s="19" t="s">
        <v>256</v>
      </c>
      <c r="S83" s="18"/>
    </row>
    <row r="84" customFormat="false" ht="23.85" hidden="false" customHeight="false" outlineLevel="0" collapsed="false">
      <c r="A84" s="17" t="s">
        <v>257</v>
      </c>
      <c r="B84" s="18" t="s">
        <v>251</v>
      </c>
      <c r="C84" s="19" t="s">
        <v>258</v>
      </c>
      <c r="D84" s="18" t="s">
        <v>58</v>
      </c>
      <c r="E84" s="20" t="n">
        <f aca="false">SUMIFS(msp1!$F:$F,msp1!$A:$A,$A84,msp1!$G:$G,$D84)</f>
        <v>1</v>
      </c>
      <c r="F84" s="20" t="n">
        <f aca="false">SUMIFS(n3pp!$F:$F,n3pp!$A:$A,$A84,n3pp!$G:$G,$D84)</f>
        <v>1</v>
      </c>
      <c r="G84" s="20" t="n">
        <f aca="false">SUMIFS('ffp5cs 230V'!$F:$F,'ffp5cs 230V'!$A:$A,$A84,'ffp5cs 230V'!$G:$G,$D84)</f>
        <v>1</v>
      </c>
      <c r="H84" s="20" t="n">
        <f aca="false">SUMIFS('ffp5cs 12V'!$F:$F,'ffp5cs 12V'!$A:$A,$A84,'ffp5cs 12V'!$G:$G,$D84)</f>
        <v>1</v>
      </c>
      <c r="I84" s="21" t="n">
        <f aca="false">SUM(E84:H84)</f>
        <v>4</v>
      </c>
      <c r="J84" s="22" t="n">
        <v>0</v>
      </c>
      <c r="K84" s="18" t="n">
        <f aca="false">IF(I84=0,0,I84+J84)</f>
        <v>4</v>
      </c>
      <c r="L84" s="18" t="n">
        <f aca="false">INDEX(Prix!$E$5:$E$79,MATCH($A84,Prix!$A$5:$A$79,0))</f>
        <v>1</v>
      </c>
      <c r="M84" s="18" t="n">
        <f aca="false">IF(K84=0,0,ROUNDUP(K84/L84,0))</f>
        <v>4</v>
      </c>
      <c r="N84" s="23" t="n">
        <f aca="false">IF(INDEX(Prix!$D$5:$D$79,MATCH($A84,Prix!$A$5:$A$79,0))="","",INDEX(Prix!$D$5:$D$79,MATCH($A84,Prix!$A$5:$A$79,0)))</f>
        <v>352</v>
      </c>
      <c r="O84" s="23" t="n">
        <f aca="false">IF(N84="","",M84*N84)</f>
        <v>1408</v>
      </c>
      <c r="P84" s="18" t="str">
        <f aca="false">INDEX(Prix!$C$5:$C$79,MATCH($A84,Prix!$A$5:$A$79,0))</f>
        <v>EnergyMarket</v>
      </c>
      <c r="Q84" s="18" t="str">
        <f aca="false">INDEX(Prix!$H$5:$H$79,MATCH($A84,Prix!$A$5:$A$79,0))</f>
        <v>Maroc</v>
      </c>
      <c r="R84" s="19" t="s">
        <v>259</v>
      </c>
      <c r="S84" s="24" t="s">
        <v>60</v>
      </c>
    </row>
    <row r="85" customFormat="false" ht="15" hidden="false" customHeight="false" outlineLevel="0" collapsed="false">
      <c r="A85" s="17" t="s">
        <v>260</v>
      </c>
      <c r="B85" s="18" t="s">
        <v>251</v>
      </c>
      <c r="C85" s="19" t="s">
        <v>261</v>
      </c>
      <c r="D85" s="18" t="s">
        <v>58</v>
      </c>
      <c r="E85" s="20" t="n">
        <f aca="false">SUMIFS(msp1!$F:$F,msp1!$A:$A,$A85,msp1!$G:$G,$D85)</f>
        <v>6</v>
      </c>
      <c r="F85" s="20" t="n">
        <f aca="false">SUMIFS(n3pp!$F:$F,n3pp!$A:$A,$A85,n3pp!$G:$G,$D85)</f>
        <v>6</v>
      </c>
      <c r="G85" s="20" t="n">
        <f aca="false">SUMIFS('ffp5cs 230V'!$F:$F,'ffp5cs 230V'!$A:$A,$A85,'ffp5cs 230V'!$G:$G,$D85)</f>
        <v>8</v>
      </c>
      <c r="H85" s="20" t="n">
        <f aca="false">SUMIFS('ffp5cs 12V'!$F:$F,'ffp5cs 12V'!$A:$A,$A85,'ffp5cs 12V'!$G:$G,$D85)</f>
        <v>8</v>
      </c>
      <c r="I85" s="21" t="n">
        <f aca="false">SUM(E85:H85)</f>
        <v>28</v>
      </c>
      <c r="J85" s="22" t="n">
        <v>2</v>
      </c>
      <c r="K85" s="18" t="n">
        <f aca="false">IF(I85=0,0,I85+J85)</f>
        <v>30</v>
      </c>
      <c r="L85" s="18" t="n">
        <f aca="false">INDEX(Prix!$E$5:$E$79,MATCH($A85,Prix!$A$5:$A$79,0))</f>
        <v>1</v>
      </c>
      <c r="M85" s="18" t="n">
        <f aca="false">IF(K85=0,0,ROUNDUP(K85/L85,0))</f>
        <v>30</v>
      </c>
      <c r="N85" s="23" t="str">
        <f aca="false">IF(INDEX(Prix!$D$5:$D$79,MATCH($A85,Prix!$A$5:$A$79,0))="","",INDEX(Prix!$D$5:$D$79,MATCH($A85,Prix!$A$5:$A$79,0)))</f>
        <v/>
      </c>
      <c r="O85" s="23" t="str">
        <f aca="false">IF(N85="","",M85*N85)</f>
        <v/>
      </c>
      <c r="P85" s="18" t="str">
        <f aca="false">INDEX(Prix!$C$5:$C$79,MATCH($A85,Prix!$A$5:$A$79,0))</f>
        <v>Quincaillerie</v>
      </c>
      <c r="Q85" s="18" t="str">
        <f aca="false">INDEX(Prix!$H$5:$H$79,MATCH($A85,Prix!$A$5:$A$79,0))</f>
        <v>Maroc</v>
      </c>
      <c r="R85" s="19" t="s">
        <v>262</v>
      </c>
      <c r="S85" s="18"/>
    </row>
    <row r="86" customFormat="false" ht="15" hidden="false" customHeight="false" outlineLevel="0" collapsed="false">
      <c r="A86" s="17" t="s">
        <v>263</v>
      </c>
      <c r="B86" s="18" t="s">
        <v>251</v>
      </c>
      <c r="C86" s="19" t="s">
        <v>264</v>
      </c>
      <c r="D86" s="18" t="s">
        <v>58</v>
      </c>
      <c r="E86" s="20" t="n">
        <f aca="false">SUMIFS(msp1!$F:$F,msp1!$A:$A,$A86,msp1!$G:$G,$D86)</f>
        <v>5</v>
      </c>
      <c r="F86" s="20" t="n">
        <f aca="false">SUMIFS(n3pp!$F:$F,n3pp!$A:$A,$A86,n3pp!$G:$G,$D86)</f>
        <v>5</v>
      </c>
      <c r="G86" s="20" t="n">
        <f aca="false">SUMIFS('ffp5cs 230V'!$F:$F,'ffp5cs 230V'!$A:$A,$A86,'ffp5cs 230V'!$G:$G,$D86)</f>
        <v>5</v>
      </c>
      <c r="H86" s="20" t="n">
        <f aca="false">SUMIFS('ffp5cs 12V'!$F:$F,'ffp5cs 12V'!$A:$A,$A86,'ffp5cs 12V'!$G:$G,$D86)</f>
        <v>5</v>
      </c>
      <c r="I86" s="21" t="n">
        <f aca="false">SUM(E86:H86)</f>
        <v>20</v>
      </c>
      <c r="J86" s="22" t="n">
        <v>0</v>
      </c>
      <c r="K86" s="18" t="n">
        <f aca="false">IF(I86=0,0,I86+J86)</f>
        <v>20</v>
      </c>
      <c r="L86" s="18" t="n">
        <f aca="false">INDEX(Prix!$E$5:$E$79,MATCH($A86,Prix!$A$5:$A$79,0))</f>
        <v>1</v>
      </c>
      <c r="M86" s="18" t="n">
        <f aca="false">IF(K86=0,0,ROUNDUP(K86/L86,0))</f>
        <v>20</v>
      </c>
      <c r="N86" s="23" t="n">
        <f aca="false">IF(INDEX(Prix!$D$5:$D$79,MATCH($A86,Prix!$A$5:$A$79,0))="","",INDEX(Prix!$D$5:$D$79,MATCH($A86,Prix!$A$5:$A$79,0)))</f>
        <v>3.5</v>
      </c>
      <c r="O86" s="23" t="n">
        <f aca="false">IF(N86="","",M86*N86)</f>
        <v>70</v>
      </c>
      <c r="P86" s="18" t="str">
        <f aca="false">INDEX(Prix!$C$5:$C$79,MATCH($A86,Prix!$A$5:$A$79,0))</f>
        <v>ElectroDelivery</v>
      </c>
      <c r="Q86" s="18" t="str">
        <f aca="false">INDEX(Prix!$H$5:$H$79,MATCH($A86,Prix!$A$5:$A$79,0))</f>
        <v>Maroc</v>
      </c>
      <c r="R86" s="19" t="s">
        <v>265</v>
      </c>
      <c r="S86" s="24" t="s">
        <v>60</v>
      </c>
    </row>
    <row r="87" customFormat="false" ht="15" hidden="false" customHeight="false" outlineLevel="0" collapsed="false">
      <c r="A87" s="17" t="s">
        <v>266</v>
      </c>
      <c r="B87" s="18" t="s">
        <v>251</v>
      </c>
      <c r="C87" s="19" t="s">
        <v>267</v>
      </c>
      <c r="D87" s="18" t="s">
        <v>58</v>
      </c>
      <c r="E87" s="20" t="n">
        <f aca="false">SUMIFS(msp1!$F:$F,msp1!$A:$A,$A87,msp1!$G:$G,$D87)</f>
        <v>0</v>
      </c>
      <c r="F87" s="20" t="n">
        <f aca="false">SUMIFS(n3pp!$F:$F,n3pp!$A:$A,$A87,n3pp!$G:$G,$D87)</f>
        <v>0</v>
      </c>
      <c r="G87" s="20" t="n">
        <f aca="false">SUMIFS('ffp5cs 230V'!$F:$F,'ffp5cs 230V'!$A:$A,$A87,'ffp5cs 230V'!$G:$G,$D87)</f>
        <v>5</v>
      </c>
      <c r="H87" s="20" t="n">
        <f aca="false">SUMIFS('ffp5cs 12V'!$F:$F,'ffp5cs 12V'!$A:$A,$A87,'ffp5cs 12V'!$G:$G,$D87)</f>
        <v>5</v>
      </c>
      <c r="I87" s="21" t="n">
        <f aca="false">SUM(E87:H87)</f>
        <v>10</v>
      </c>
      <c r="J87" s="22" t="n">
        <v>0</v>
      </c>
      <c r="K87" s="18" t="n">
        <f aca="false">IF(I87=0,0,I87+J87)</f>
        <v>10</v>
      </c>
      <c r="L87" s="18" t="n">
        <f aca="false">INDEX(Prix!$E$5:$E$79,MATCH($A87,Prix!$A$5:$A$79,0))</f>
        <v>1</v>
      </c>
      <c r="M87" s="18" t="n">
        <f aca="false">IF(K87=0,0,ROUNDUP(K87/L87,0))</f>
        <v>10</v>
      </c>
      <c r="N87" s="23" t="n">
        <f aca="false">IF(INDEX(Prix!$D$5:$D$79,MATCH($A87,Prix!$A$5:$A$79,0))="","",INDEX(Prix!$D$5:$D$79,MATCH($A87,Prix!$A$5:$A$79,0)))</f>
        <v>8</v>
      </c>
      <c r="O87" s="23" t="n">
        <f aca="false">IF(N87="","",M87*N87)</f>
        <v>80</v>
      </c>
      <c r="P87" s="18" t="str">
        <f aca="false">INDEX(Prix!$C$5:$C$79,MATCH($A87,Prix!$A$5:$A$79,0))</f>
        <v>ElectroDelivery</v>
      </c>
      <c r="Q87" s="18" t="str">
        <f aca="false">INDEX(Prix!$H$5:$H$79,MATCH($A87,Prix!$A$5:$A$79,0))</f>
        <v>Maroc</v>
      </c>
      <c r="R87" s="19" t="s">
        <v>268</v>
      </c>
      <c r="S87" s="24" t="s">
        <v>60</v>
      </c>
    </row>
    <row r="89" customFormat="false" ht="15" hidden="false" customHeight="false" outlineLevel="0" collapsed="false">
      <c r="A89" s="13" t="s">
        <v>269</v>
      </c>
    </row>
    <row r="90" customFormat="false" ht="30" hidden="false" customHeight="true" outlineLevel="0" collapsed="false">
      <c r="A90" s="16" t="s">
        <v>40</v>
      </c>
      <c r="B90" s="16" t="s">
        <v>41</v>
      </c>
      <c r="C90" s="16" t="s">
        <v>42</v>
      </c>
      <c r="D90" s="16" t="s">
        <v>43</v>
      </c>
      <c r="E90" s="16" t="s">
        <v>34</v>
      </c>
      <c r="F90" s="16" t="s">
        <v>35</v>
      </c>
      <c r="G90" s="16" t="s">
        <v>36</v>
      </c>
      <c r="H90" s="16" t="s">
        <v>37</v>
      </c>
      <c r="I90" s="16" t="s">
        <v>44</v>
      </c>
      <c r="J90" s="16" t="s">
        <v>45</v>
      </c>
      <c r="K90" s="16" t="s">
        <v>46</v>
      </c>
      <c r="L90" s="16" t="s">
        <v>47</v>
      </c>
      <c r="M90" s="16" t="s">
        <v>48</v>
      </c>
      <c r="N90" s="16" t="s">
        <v>49</v>
      </c>
      <c r="O90" s="16" t="s">
        <v>50</v>
      </c>
      <c r="P90" s="16" t="s">
        <v>51</v>
      </c>
      <c r="Q90" s="16" t="s">
        <v>52</v>
      </c>
      <c r="R90" s="16" t="s">
        <v>53</v>
      </c>
      <c r="S90" s="16" t="s">
        <v>54</v>
      </c>
    </row>
    <row r="91" customFormat="false" ht="23.85" hidden="false" customHeight="false" outlineLevel="0" collapsed="false">
      <c r="A91" s="57" t="s">
        <v>270</v>
      </c>
      <c r="B91" s="58" t="s">
        <v>271</v>
      </c>
      <c r="C91" s="59" t="s">
        <v>272</v>
      </c>
      <c r="D91" s="58" t="s">
        <v>58</v>
      </c>
      <c r="E91" s="58"/>
      <c r="F91" s="58"/>
      <c r="G91" s="58"/>
      <c r="H91" s="58"/>
      <c r="I91" s="60" t="n">
        <v>1</v>
      </c>
      <c r="J91" s="58" t="n">
        <v>0</v>
      </c>
      <c r="K91" s="58" t="n">
        <f aca="false">I91+J91</f>
        <v>1</v>
      </c>
      <c r="L91" s="58" t="n">
        <f aca="false">INDEX(Prix!$E$5:$E$79,MATCH($A91,Prix!$A$5:$A$79,0))</f>
        <v>1</v>
      </c>
      <c r="M91" s="58" t="n">
        <f aca="false">ROUNDUP(K91/L91,0)</f>
        <v>1</v>
      </c>
      <c r="N91" s="61" t="n">
        <f aca="false">IF(INDEX(Prix!$D$5:$D$79,MATCH($A91,Prix!$A$5:$A$79,0))="","",INDEX(Prix!$D$5:$D$79,MATCH($A91,Prix!$A$5:$A$79,0)))</f>
        <v>250</v>
      </c>
      <c r="O91" s="61" t="n">
        <f aca="false">IF(N91="","",M91*N91)</f>
        <v>250</v>
      </c>
      <c r="P91" s="58" t="str">
        <f aca="false">INDEX(Prix!$C$5:$C$79,MATCH($A91,Prix!$A$5:$A$79,0))</f>
        <v>Moussasoft</v>
      </c>
      <c r="Q91" s="58" t="str">
        <f aca="false">INDEX(Prix!$H$5:$H$79,MATCH($A91,Prix!$A$5:$A$79,0))</f>
        <v>Maroc</v>
      </c>
      <c r="R91" s="59" t="s">
        <v>273</v>
      </c>
      <c r="S91" s="62" t="s">
        <v>60</v>
      </c>
    </row>
    <row r="92" customFormat="false" ht="23.85" hidden="false" customHeight="false" outlineLevel="0" collapsed="false">
      <c r="A92" s="57" t="s">
        <v>274</v>
      </c>
      <c r="B92" s="58" t="s">
        <v>271</v>
      </c>
      <c r="C92" s="59" t="s">
        <v>275</v>
      </c>
      <c r="D92" s="58" t="s">
        <v>58</v>
      </c>
      <c r="E92" s="58"/>
      <c r="F92" s="58"/>
      <c r="G92" s="58"/>
      <c r="H92" s="58"/>
      <c r="I92" s="60" t="n">
        <v>1</v>
      </c>
      <c r="J92" s="58" t="n">
        <v>0</v>
      </c>
      <c r="K92" s="58" t="n">
        <f aca="false">I92+J92</f>
        <v>1</v>
      </c>
      <c r="L92" s="58" t="n">
        <f aca="false">INDEX(Prix!$E$5:$E$79,MATCH($A92,Prix!$A$5:$A$79,0))</f>
        <v>1</v>
      </c>
      <c r="M92" s="58" t="n">
        <f aca="false">ROUNDUP(K92/L92,0)</f>
        <v>1</v>
      </c>
      <c r="N92" s="61" t="n">
        <f aca="false">IF(INDEX(Prix!$D$5:$D$79,MATCH($A92,Prix!$A$5:$A$79,0))="","",INDEX(Prix!$D$5:$D$79,MATCH($A92,Prix!$A$5:$A$79,0)))</f>
        <v>400</v>
      </c>
      <c r="O92" s="61" t="n">
        <f aca="false">IF(N92="","",M92*N92)</f>
        <v>400</v>
      </c>
      <c r="P92" s="58" t="str">
        <f aca="false">INDEX(Prix!$C$5:$C$79,MATCH($A92,Prix!$A$5:$A$79,0))</f>
        <v>A2itronic</v>
      </c>
      <c r="Q92" s="58" t="str">
        <f aca="false">INDEX(Prix!$H$5:$H$79,MATCH($A92,Prix!$A$5:$A$79,0))</f>
        <v>Maroc</v>
      </c>
      <c r="R92" s="59" t="s">
        <v>276</v>
      </c>
      <c r="S92" s="62" t="s">
        <v>60</v>
      </c>
    </row>
    <row r="93" customFormat="false" ht="23.85" hidden="false" customHeight="false" outlineLevel="0" collapsed="false">
      <c r="A93" s="57" t="s">
        <v>277</v>
      </c>
      <c r="B93" s="58" t="s">
        <v>271</v>
      </c>
      <c r="C93" s="59" t="s">
        <v>278</v>
      </c>
      <c r="D93" s="58" t="s">
        <v>58</v>
      </c>
      <c r="E93" s="58"/>
      <c r="F93" s="58"/>
      <c r="G93" s="58"/>
      <c r="H93" s="58"/>
      <c r="I93" s="60" t="n">
        <v>4</v>
      </c>
      <c r="J93" s="58" t="n">
        <v>0</v>
      </c>
      <c r="K93" s="58" t="n">
        <f aca="false">I93+J93</f>
        <v>4</v>
      </c>
      <c r="L93" s="58" t="n">
        <f aca="false">INDEX(Prix!$E$5:$E$79,MATCH($A93,Prix!$A$5:$A$79,0))</f>
        <v>1</v>
      </c>
      <c r="M93" s="58" t="n">
        <f aca="false">ROUNDUP(K93/L93,0)</f>
        <v>4</v>
      </c>
      <c r="N93" s="61" t="n">
        <f aca="false">IF(INDEX(Prix!$D$5:$D$79,MATCH($A93,Prix!$A$5:$A$79,0))="","",INDEX(Prix!$D$5:$D$79,MATCH($A93,Prix!$A$5:$A$79,0)))</f>
        <v>6</v>
      </c>
      <c r="O93" s="61" t="n">
        <f aca="false">IF(N93="","",M93*N93)</f>
        <v>24</v>
      </c>
      <c r="P93" s="58" t="str">
        <f aca="false">INDEX(Prix!$C$5:$C$79,MATCH($A93,Prix!$A$5:$A$79,0))</f>
        <v>MicroPlanet</v>
      </c>
      <c r="Q93" s="58" t="str">
        <f aca="false">INDEX(Prix!$H$5:$H$79,MATCH($A93,Prix!$A$5:$A$79,0))</f>
        <v>Maroc</v>
      </c>
      <c r="R93" s="59" t="s">
        <v>279</v>
      </c>
      <c r="S93" s="62" t="s">
        <v>60</v>
      </c>
    </row>
  </sheetData>
  <autoFilter ref="A14:S87"/>
  <hyperlinks>
    <hyperlink ref="S15" r:id="rId1" display="lien"/>
    <hyperlink ref="S16" r:id="rId2" display="lien"/>
    <hyperlink ref="S17" r:id="rId3" display="lien"/>
    <hyperlink ref="S18" r:id="rId4" display="lien"/>
    <hyperlink ref="S19" r:id="rId5" display="lien"/>
    <hyperlink ref="S20" r:id="rId6" display="lien"/>
    <hyperlink ref="S21" r:id="rId7" display="lien"/>
    <hyperlink ref="S22" r:id="rId8" display="lien"/>
    <hyperlink ref="S23" r:id="rId9" display="lien"/>
    <hyperlink ref="S24" r:id="rId10" display="lien"/>
    <hyperlink ref="S25" r:id="rId11" display="lien"/>
    <hyperlink ref="S26" r:id="rId12" display="lien"/>
    <hyperlink ref="S27" r:id="rId13" display="lien"/>
    <hyperlink ref="S28" r:id="rId14" display="lien"/>
    <hyperlink ref="S29" r:id="rId15" display="lien"/>
    <hyperlink ref="S30" r:id="rId16" display="lien"/>
    <hyperlink ref="S31" r:id="rId17" display="lien"/>
    <hyperlink ref="S32" r:id="rId18" display="lien"/>
    <hyperlink ref="S33" r:id="rId19" display="lien"/>
    <hyperlink ref="S34" r:id="rId20" display="lien"/>
    <hyperlink ref="S35" r:id="rId21" display="lien"/>
    <hyperlink ref="S36" r:id="rId22" display="lien"/>
    <hyperlink ref="S37" r:id="rId23" display="lien"/>
    <hyperlink ref="S38" r:id="rId24" display="lien"/>
    <hyperlink ref="S39" r:id="rId25" display="lien"/>
    <hyperlink ref="S40" r:id="rId26" display="lien"/>
    <hyperlink ref="S41" r:id="rId27" display="lien"/>
    <hyperlink ref="S42" r:id="rId28" display="lien"/>
    <hyperlink ref="S43" r:id="rId29" display="lien"/>
    <hyperlink ref="S44" r:id="rId30" display="lien"/>
    <hyperlink ref="S45" r:id="rId31" display="lien"/>
    <hyperlink ref="S46" r:id="rId32" display="lien"/>
    <hyperlink ref="S47" r:id="rId33" display="lien"/>
    <hyperlink ref="S48" r:id="rId34" display="lien"/>
    <hyperlink ref="S49" r:id="rId35" display="lien"/>
    <hyperlink ref="S50" r:id="rId36" display="lien"/>
    <hyperlink ref="S51" r:id="rId37" display="lien"/>
    <hyperlink ref="S54" r:id="rId38" display="lien"/>
    <hyperlink ref="S55" r:id="rId39" display="lien"/>
    <hyperlink ref="S56" r:id="rId40" display="lien"/>
    <hyperlink ref="S57" r:id="rId41" display="lien"/>
    <hyperlink ref="S58" r:id="rId42" display="lien"/>
    <hyperlink ref="S59" r:id="rId43" display="lien"/>
    <hyperlink ref="S60" r:id="rId44" display="lien"/>
    <hyperlink ref="S61" r:id="rId45" display="lien"/>
    <hyperlink ref="S62" r:id="rId46" display="lien"/>
    <hyperlink ref="S63" r:id="rId47" display="lien"/>
    <hyperlink ref="S64" r:id="rId48" display="lien"/>
    <hyperlink ref="S65" r:id="rId49" display="lien"/>
    <hyperlink ref="S66" r:id="rId50" display="lien"/>
    <hyperlink ref="S67" r:id="rId51" display="lien"/>
    <hyperlink ref="S68" r:id="rId52" display="lien"/>
    <hyperlink ref="S69" r:id="rId53" display="lien"/>
    <hyperlink ref="S70" r:id="rId54" display="lien"/>
    <hyperlink ref="S71" r:id="rId55" display="lien"/>
    <hyperlink ref="S72" r:id="rId56" display="lien"/>
    <hyperlink ref="S73" r:id="rId57" display="lien"/>
    <hyperlink ref="S74" r:id="rId58" display="lien"/>
    <hyperlink ref="S75" r:id="rId59" display="lien"/>
    <hyperlink ref="S76" r:id="rId60" display="lien"/>
    <hyperlink ref="S78" r:id="rId61" display="lien"/>
    <hyperlink ref="S79" r:id="rId62" display="lien"/>
    <hyperlink ref="S80" r:id="rId63" display="lien"/>
    <hyperlink ref="S81" r:id="rId64" display="lien"/>
    <hyperlink ref="S82" r:id="rId65" display="lien"/>
    <hyperlink ref="S84" r:id="rId66" display="lien"/>
    <hyperlink ref="S86" r:id="rId67" display="lien"/>
    <hyperlink ref="S87" r:id="rId68" display="lien"/>
    <hyperlink ref="S91" r:id="rId69" display="lien"/>
    <hyperlink ref="S92" r:id="rId70" display="lien"/>
    <hyperlink ref="S93" r:id="rId71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7"/>
    <col collapsed="false" customWidth="true" hidden="false" outlineLevel="0" max="10" min="10" style="0" width="60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7" t="s">
        <v>280</v>
      </c>
    </row>
    <row r="2" customFormat="false" ht="15" hidden="false" customHeight="false" outlineLevel="0" collapsed="false">
      <c r="A2" s="8" t="s">
        <v>281</v>
      </c>
    </row>
    <row r="4" customFormat="false" ht="30" hidden="false" customHeight="true" outlineLevel="0" collapsed="false">
      <c r="A4" s="16" t="s">
        <v>40</v>
      </c>
      <c r="B4" s="16" t="s">
        <v>42</v>
      </c>
      <c r="C4" s="16" t="s">
        <v>51</v>
      </c>
      <c r="D4" s="16" t="s">
        <v>49</v>
      </c>
      <c r="E4" s="16" t="s">
        <v>47</v>
      </c>
      <c r="F4" s="16" t="s">
        <v>282</v>
      </c>
      <c r="G4" s="16" t="s">
        <v>283</v>
      </c>
      <c r="H4" s="16" t="s">
        <v>52</v>
      </c>
      <c r="I4" s="16" t="s">
        <v>54</v>
      </c>
      <c r="J4" s="16" t="s">
        <v>53</v>
      </c>
      <c r="K4" s="16" t="s">
        <v>284</v>
      </c>
    </row>
    <row r="5" customFormat="false" ht="23.85" hidden="false" customHeight="false" outlineLevel="0" collapsed="false">
      <c r="A5" s="58" t="s">
        <v>55</v>
      </c>
      <c r="B5" s="59" t="s">
        <v>57</v>
      </c>
      <c r="C5" s="58" t="s">
        <v>285</v>
      </c>
      <c r="D5" s="63"/>
      <c r="E5" s="60" t="n">
        <v>1</v>
      </c>
      <c r="F5" s="58" t="s">
        <v>286</v>
      </c>
      <c r="G5" s="61" t="str">
        <f aca="false">IF(D5="","",D5/E5)</f>
        <v/>
      </c>
      <c r="H5" s="58" t="s">
        <v>287</v>
      </c>
      <c r="I5" s="62" t="s">
        <v>60</v>
      </c>
      <c r="J5" s="59" t="s">
        <v>59</v>
      </c>
      <c r="K5" s="58" t="s">
        <v>288</v>
      </c>
    </row>
    <row r="6" customFormat="false" ht="23.85" hidden="false" customHeight="false" outlineLevel="0" collapsed="false">
      <c r="A6" s="58" t="s">
        <v>61</v>
      </c>
      <c r="B6" s="59" t="s">
        <v>62</v>
      </c>
      <c r="C6" s="58" t="s">
        <v>289</v>
      </c>
      <c r="D6" s="63" t="n">
        <v>113</v>
      </c>
      <c r="E6" s="60" t="n">
        <v>1</v>
      </c>
      <c r="F6" s="58" t="s">
        <v>290</v>
      </c>
      <c r="G6" s="61" t="n">
        <f aca="false">IF(D6="","",D6/E6)</f>
        <v>113</v>
      </c>
      <c r="H6" s="58" t="s">
        <v>291</v>
      </c>
      <c r="I6" s="62" t="s">
        <v>60</v>
      </c>
      <c r="J6" s="59" t="s">
        <v>63</v>
      </c>
      <c r="K6" s="58" t="s">
        <v>288</v>
      </c>
    </row>
    <row r="7" customFormat="false" ht="15" hidden="false" customHeight="false" outlineLevel="0" collapsed="false">
      <c r="A7" s="58" t="s">
        <v>64</v>
      </c>
      <c r="B7" s="59" t="s">
        <v>66</v>
      </c>
      <c r="C7" s="58" t="s">
        <v>292</v>
      </c>
      <c r="D7" s="63" t="n">
        <v>1.5</v>
      </c>
      <c r="E7" s="60" t="n">
        <v>5</v>
      </c>
      <c r="F7" s="58" t="s">
        <v>293</v>
      </c>
      <c r="G7" s="61" t="n">
        <f aca="false">IF(D7="","",D7/E7)</f>
        <v>0.3</v>
      </c>
      <c r="H7" s="58" t="s">
        <v>291</v>
      </c>
      <c r="I7" s="62" t="s">
        <v>60</v>
      </c>
      <c r="J7" s="59" t="s">
        <v>67</v>
      </c>
      <c r="K7" s="58" t="s">
        <v>288</v>
      </c>
    </row>
    <row r="8" customFormat="false" ht="15" hidden="false" customHeight="false" outlineLevel="0" collapsed="false">
      <c r="A8" s="58" t="s">
        <v>68</v>
      </c>
      <c r="B8" s="59" t="s">
        <v>69</v>
      </c>
      <c r="C8" s="58" t="s">
        <v>292</v>
      </c>
      <c r="D8" s="63" t="n">
        <v>1.5</v>
      </c>
      <c r="E8" s="60" t="n">
        <v>5</v>
      </c>
      <c r="F8" s="58" t="s">
        <v>293</v>
      </c>
      <c r="G8" s="61" t="n">
        <f aca="false">IF(D8="","",D8/E8)</f>
        <v>0.3</v>
      </c>
      <c r="H8" s="58" t="s">
        <v>291</v>
      </c>
      <c r="I8" s="62" t="s">
        <v>60</v>
      </c>
      <c r="J8" s="59" t="s">
        <v>67</v>
      </c>
      <c r="K8" s="58" t="s">
        <v>288</v>
      </c>
    </row>
    <row r="9" customFormat="false" ht="15" hidden="false" customHeight="false" outlineLevel="0" collapsed="false">
      <c r="A9" s="58" t="s">
        <v>70</v>
      </c>
      <c r="B9" s="59" t="s">
        <v>71</v>
      </c>
      <c r="C9" s="58" t="s">
        <v>292</v>
      </c>
      <c r="D9" s="63" t="n">
        <v>1.5</v>
      </c>
      <c r="E9" s="60" t="n">
        <v>5</v>
      </c>
      <c r="F9" s="58" t="s">
        <v>293</v>
      </c>
      <c r="G9" s="61" t="n">
        <f aca="false">IF(D9="","",D9/E9)</f>
        <v>0.3</v>
      </c>
      <c r="H9" s="58" t="s">
        <v>291</v>
      </c>
      <c r="I9" s="62" t="s">
        <v>60</v>
      </c>
      <c r="J9" s="59" t="s">
        <v>67</v>
      </c>
      <c r="K9" s="58" t="s">
        <v>288</v>
      </c>
    </row>
    <row r="10" customFormat="false" ht="15" hidden="false" customHeight="false" outlineLevel="0" collapsed="false">
      <c r="A10" s="58" t="s">
        <v>72</v>
      </c>
      <c r="B10" s="59" t="s">
        <v>73</v>
      </c>
      <c r="C10" s="58" t="s">
        <v>292</v>
      </c>
      <c r="D10" s="63" t="n">
        <v>1.5</v>
      </c>
      <c r="E10" s="60" t="n">
        <v>5</v>
      </c>
      <c r="F10" s="58" t="s">
        <v>293</v>
      </c>
      <c r="G10" s="61" t="n">
        <f aca="false">IF(D10="","",D10/E10)</f>
        <v>0.3</v>
      </c>
      <c r="H10" s="58" t="s">
        <v>291</v>
      </c>
      <c r="I10" s="62" t="s">
        <v>60</v>
      </c>
      <c r="J10" s="59" t="s">
        <v>67</v>
      </c>
      <c r="K10" s="58" t="s">
        <v>288</v>
      </c>
    </row>
    <row r="11" customFormat="false" ht="15" hidden="false" customHeight="false" outlineLevel="0" collapsed="false">
      <c r="A11" s="58" t="s">
        <v>74</v>
      </c>
      <c r="B11" s="59" t="s">
        <v>75</v>
      </c>
      <c r="C11" s="58" t="s">
        <v>292</v>
      </c>
      <c r="D11" s="63" t="n">
        <v>1.5</v>
      </c>
      <c r="E11" s="60" t="n">
        <v>5</v>
      </c>
      <c r="F11" s="58" t="s">
        <v>293</v>
      </c>
      <c r="G11" s="61" t="n">
        <f aca="false">IF(D11="","",D11/E11)</f>
        <v>0.3</v>
      </c>
      <c r="H11" s="58" t="s">
        <v>291</v>
      </c>
      <c r="I11" s="62" t="s">
        <v>60</v>
      </c>
      <c r="J11" s="59" t="s">
        <v>67</v>
      </c>
      <c r="K11" s="58" t="s">
        <v>288</v>
      </c>
    </row>
    <row r="12" customFormat="false" ht="15" hidden="false" customHeight="false" outlineLevel="0" collapsed="false">
      <c r="A12" s="58" t="s">
        <v>76</v>
      </c>
      <c r="B12" s="59" t="s">
        <v>77</v>
      </c>
      <c r="C12" s="58" t="s">
        <v>292</v>
      </c>
      <c r="D12" s="63" t="n">
        <v>1.5</v>
      </c>
      <c r="E12" s="60" t="n">
        <v>5</v>
      </c>
      <c r="F12" s="58" t="s">
        <v>293</v>
      </c>
      <c r="G12" s="61" t="n">
        <f aca="false">IF(D12="","",D12/E12)</f>
        <v>0.3</v>
      </c>
      <c r="H12" s="58" t="s">
        <v>291</v>
      </c>
      <c r="I12" s="62" t="s">
        <v>60</v>
      </c>
      <c r="J12" s="59" t="s">
        <v>67</v>
      </c>
      <c r="K12" s="58" t="s">
        <v>288</v>
      </c>
    </row>
    <row r="13" customFormat="false" ht="15" hidden="false" customHeight="false" outlineLevel="0" collapsed="false">
      <c r="A13" s="58" t="s">
        <v>78</v>
      </c>
      <c r="B13" s="59" t="s">
        <v>79</v>
      </c>
      <c r="C13" s="58" t="s">
        <v>292</v>
      </c>
      <c r="D13" s="63" t="n">
        <v>1.5</v>
      </c>
      <c r="E13" s="60" t="n">
        <v>5</v>
      </c>
      <c r="F13" s="58" t="s">
        <v>293</v>
      </c>
      <c r="G13" s="61" t="n">
        <f aca="false">IF(D13="","",D13/E13)</f>
        <v>0.3</v>
      </c>
      <c r="H13" s="58" t="s">
        <v>291</v>
      </c>
      <c r="I13" s="62" t="s">
        <v>60</v>
      </c>
      <c r="J13" s="59" t="s">
        <v>67</v>
      </c>
      <c r="K13" s="58" t="s">
        <v>288</v>
      </c>
    </row>
    <row r="14" customFormat="false" ht="15" hidden="false" customHeight="false" outlineLevel="0" collapsed="false">
      <c r="A14" s="58" t="s">
        <v>80</v>
      </c>
      <c r="B14" s="59" t="s">
        <v>82</v>
      </c>
      <c r="C14" s="58" t="s">
        <v>294</v>
      </c>
      <c r="D14" s="63" t="n">
        <v>0.5</v>
      </c>
      <c r="E14" s="60" t="n">
        <v>1</v>
      </c>
      <c r="F14" s="58" t="s">
        <v>290</v>
      </c>
      <c r="G14" s="61" t="n">
        <f aca="false">IF(D14="","",D14/E14)</f>
        <v>0.5</v>
      </c>
      <c r="H14" s="58" t="s">
        <v>291</v>
      </c>
      <c r="I14" s="62" t="s">
        <v>60</v>
      </c>
      <c r="J14" s="59" t="s">
        <v>83</v>
      </c>
      <c r="K14" s="58" t="s">
        <v>288</v>
      </c>
    </row>
    <row r="15" customFormat="false" ht="15" hidden="false" customHeight="false" outlineLevel="0" collapsed="false">
      <c r="A15" s="58" t="s">
        <v>84</v>
      </c>
      <c r="B15" s="59" t="s">
        <v>85</v>
      </c>
      <c r="C15" s="58" t="s">
        <v>294</v>
      </c>
      <c r="D15" s="63" t="n">
        <v>1</v>
      </c>
      <c r="E15" s="60" t="n">
        <v>1</v>
      </c>
      <c r="F15" s="58" t="s">
        <v>290</v>
      </c>
      <c r="G15" s="61" t="n">
        <f aca="false">IF(D15="","",D15/E15)</f>
        <v>1</v>
      </c>
      <c r="H15" s="58" t="s">
        <v>291</v>
      </c>
      <c r="I15" s="62" t="s">
        <v>60</v>
      </c>
      <c r="J15" s="59" t="s">
        <v>86</v>
      </c>
      <c r="K15" s="58" t="s">
        <v>288</v>
      </c>
    </row>
    <row r="16" customFormat="false" ht="15" hidden="false" customHeight="false" outlineLevel="0" collapsed="false">
      <c r="A16" s="58" t="s">
        <v>87</v>
      </c>
      <c r="B16" s="59" t="s">
        <v>88</v>
      </c>
      <c r="C16" s="58" t="s">
        <v>294</v>
      </c>
      <c r="D16" s="63" t="n">
        <v>1</v>
      </c>
      <c r="E16" s="60" t="n">
        <v>1</v>
      </c>
      <c r="F16" s="58" t="s">
        <v>290</v>
      </c>
      <c r="G16" s="61" t="n">
        <f aca="false">IF(D16="","",D16/E16)</f>
        <v>1</v>
      </c>
      <c r="H16" s="58" t="s">
        <v>291</v>
      </c>
      <c r="I16" s="62" t="s">
        <v>60</v>
      </c>
      <c r="J16" s="59" t="s">
        <v>89</v>
      </c>
      <c r="K16" s="58" t="s">
        <v>288</v>
      </c>
    </row>
    <row r="17" customFormat="false" ht="23.85" hidden="false" customHeight="false" outlineLevel="0" collapsed="false">
      <c r="A17" s="58" t="s">
        <v>90</v>
      </c>
      <c r="B17" s="59" t="s">
        <v>91</v>
      </c>
      <c r="C17" s="58" t="s">
        <v>294</v>
      </c>
      <c r="D17" s="63" t="n">
        <v>2</v>
      </c>
      <c r="E17" s="60" t="n">
        <v>1</v>
      </c>
      <c r="F17" s="58" t="s">
        <v>290</v>
      </c>
      <c r="G17" s="61" t="n">
        <f aca="false">IF(D17="","",D17/E17)</f>
        <v>2</v>
      </c>
      <c r="H17" s="58" t="s">
        <v>291</v>
      </c>
      <c r="I17" s="62" t="s">
        <v>60</v>
      </c>
      <c r="J17" s="59" t="s">
        <v>92</v>
      </c>
      <c r="K17" s="58" t="s">
        <v>288</v>
      </c>
    </row>
    <row r="18" customFormat="false" ht="23.85" hidden="false" customHeight="false" outlineLevel="0" collapsed="false">
      <c r="A18" s="58" t="s">
        <v>93</v>
      </c>
      <c r="B18" s="59" t="s">
        <v>94</v>
      </c>
      <c r="C18" s="58" t="s">
        <v>294</v>
      </c>
      <c r="D18" s="63" t="n">
        <v>2</v>
      </c>
      <c r="E18" s="60" t="n">
        <v>1</v>
      </c>
      <c r="F18" s="58" t="s">
        <v>290</v>
      </c>
      <c r="G18" s="61" t="n">
        <f aca="false">IF(D18="","",D18/E18)</f>
        <v>2</v>
      </c>
      <c r="H18" s="58" t="s">
        <v>291</v>
      </c>
      <c r="I18" s="62" t="s">
        <v>60</v>
      </c>
      <c r="J18" s="59" t="s">
        <v>95</v>
      </c>
      <c r="K18" s="58" t="s">
        <v>288</v>
      </c>
    </row>
    <row r="19" customFormat="false" ht="23.85" hidden="false" customHeight="false" outlineLevel="0" collapsed="false">
      <c r="A19" s="58" t="s">
        <v>96</v>
      </c>
      <c r="B19" s="59" t="s">
        <v>97</v>
      </c>
      <c r="C19" s="58" t="s">
        <v>294</v>
      </c>
      <c r="D19" s="63" t="n">
        <v>3</v>
      </c>
      <c r="E19" s="60" t="n">
        <v>1</v>
      </c>
      <c r="F19" s="58" t="s">
        <v>290</v>
      </c>
      <c r="G19" s="61" t="n">
        <f aca="false">IF(D19="","",D19/E19)</f>
        <v>3</v>
      </c>
      <c r="H19" s="58" t="s">
        <v>291</v>
      </c>
      <c r="I19" s="62" t="s">
        <v>60</v>
      </c>
      <c r="J19" s="59" t="s">
        <v>98</v>
      </c>
      <c r="K19" s="58" t="s">
        <v>288</v>
      </c>
    </row>
    <row r="20" customFormat="false" ht="15" hidden="false" customHeight="false" outlineLevel="0" collapsed="false">
      <c r="A20" s="58" t="s">
        <v>99</v>
      </c>
      <c r="B20" s="59" t="s">
        <v>101</v>
      </c>
      <c r="C20" s="58" t="s">
        <v>289</v>
      </c>
      <c r="D20" s="63" t="n">
        <v>0.9</v>
      </c>
      <c r="E20" s="60" t="n">
        <v>1</v>
      </c>
      <c r="F20" s="58" t="s">
        <v>290</v>
      </c>
      <c r="G20" s="61" t="n">
        <f aca="false">IF(D20="","",D20/E20)</f>
        <v>0.9</v>
      </c>
      <c r="H20" s="58" t="s">
        <v>291</v>
      </c>
      <c r="I20" s="62" t="s">
        <v>60</v>
      </c>
      <c r="J20" s="59"/>
      <c r="K20" s="58" t="s">
        <v>288</v>
      </c>
    </row>
    <row r="21" customFormat="false" ht="23.85" hidden="false" customHeight="false" outlineLevel="0" collapsed="false">
      <c r="A21" s="58" t="s">
        <v>102</v>
      </c>
      <c r="B21" s="59" t="s">
        <v>103</v>
      </c>
      <c r="C21" s="58" t="s">
        <v>295</v>
      </c>
      <c r="D21" s="63" t="n">
        <v>2</v>
      </c>
      <c r="E21" s="60" t="n">
        <v>1</v>
      </c>
      <c r="F21" s="58" t="s">
        <v>290</v>
      </c>
      <c r="G21" s="61" t="n">
        <f aca="false">IF(D21="","",D21/E21)</f>
        <v>2</v>
      </c>
      <c r="H21" s="58" t="s">
        <v>291</v>
      </c>
      <c r="I21" s="62" t="s">
        <v>60</v>
      </c>
      <c r="J21" s="59" t="s">
        <v>104</v>
      </c>
      <c r="K21" s="58" t="s">
        <v>288</v>
      </c>
    </row>
    <row r="22" customFormat="false" ht="23.85" hidden="false" customHeight="false" outlineLevel="0" collapsed="false">
      <c r="A22" s="34" t="s">
        <v>105</v>
      </c>
      <c r="B22" s="35" t="s">
        <v>106</v>
      </c>
      <c r="C22" s="34" t="s">
        <v>296</v>
      </c>
      <c r="D22" s="64"/>
      <c r="E22" s="38" t="n">
        <v>1</v>
      </c>
      <c r="F22" s="34" t="s">
        <v>290</v>
      </c>
      <c r="G22" s="39" t="str">
        <f aca="false">IF(D22="","",D22/E22)</f>
        <v/>
      </c>
      <c r="H22" s="34" t="s">
        <v>297</v>
      </c>
      <c r="I22" s="40" t="s">
        <v>60</v>
      </c>
      <c r="J22" s="35" t="s">
        <v>107</v>
      </c>
      <c r="K22" s="34" t="s">
        <v>288</v>
      </c>
    </row>
    <row r="23" customFormat="false" ht="15" hidden="false" customHeight="false" outlineLevel="0" collapsed="false">
      <c r="A23" s="34" t="s">
        <v>108</v>
      </c>
      <c r="B23" s="35" t="s">
        <v>109</v>
      </c>
      <c r="C23" s="34" t="s">
        <v>296</v>
      </c>
      <c r="D23" s="64"/>
      <c r="E23" s="38" t="n">
        <v>1</v>
      </c>
      <c r="F23" s="34" t="s">
        <v>290</v>
      </c>
      <c r="G23" s="39" t="str">
        <f aca="false">IF(D23="","",D23/E23)</f>
        <v/>
      </c>
      <c r="H23" s="34" t="s">
        <v>297</v>
      </c>
      <c r="I23" s="40" t="s">
        <v>60</v>
      </c>
      <c r="J23" s="35" t="s">
        <v>110</v>
      </c>
      <c r="K23" s="34" t="s">
        <v>288</v>
      </c>
    </row>
    <row r="24" customFormat="false" ht="15" hidden="false" customHeight="false" outlineLevel="0" collapsed="false">
      <c r="A24" s="58" t="s">
        <v>111</v>
      </c>
      <c r="B24" s="59" t="s">
        <v>112</v>
      </c>
      <c r="C24" s="58" t="s">
        <v>292</v>
      </c>
      <c r="D24" s="63" t="n">
        <v>2</v>
      </c>
      <c r="E24" s="60" t="n">
        <v>1</v>
      </c>
      <c r="F24" s="58" t="s">
        <v>290</v>
      </c>
      <c r="G24" s="61" t="n">
        <f aca="false">IF(D24="","",D24/E24)</f>
        <v>2</v>
      </c>
      <c r="H24" s="58" t="s">
        <v>291</v>
      </c>
      <c r="I24" s="62" t="s">
        <v>60</v>
      </c>
      <c r="J24" s="59" t="s">
        <v>113</v>
      </c>
      <c r="K24" s="58" t="s">
        <v>288</v>
      </c>
    </row>
    <row r="25" customFormat="false" ht="15" hidden="false" customHeight="false" outlineLevel="0" collapsed="false">
      <c r="A25" s="58" t="s">
        <v>114</v>
      </c>
      <c r="B25" s="59" t="s">
        <v>115</v>
      </c>
      <c r="C25" s="58" t="s">
        <v>294</v>
      </c>
      <c r="D25" s="63" t="n">
        <v>1</v>
      </c>
      <c r="E25" s="60" t="n">
        <v>1</v>
      </c>
      <c r="F25" s="58" t="s">
        <v>290</v>
      </c>
      <c r="G25" s="61" t="n">
        <f aca="false">IF(D25="","",D25/E25)</f>
        <v>1</v>
      </c>
      <c r="H25" s="58" t="s">
        <v>291</v>
      </c>
      <c r="I25" s="62" t="s">
        <v>60</v>
      </c>
      <c r="J25" s="59" t="s">
        <v>116</v>
      </c>
      <c r="K25" s="58" t="s">
        <v>288</v>
      </c>
    </row>
    <row r="26" customFormat="false" ht="15" hidden="false" customHeight="false" outlineLevel="0" collapsed="false">
      <c r="A26" s="58" t="s">
        <v>117</v>
      </c>
      <c r="B26" s="59" t="s">
        <v>118</v>
      </c>
      <c r="C26" s="58" t="s">
        <v>294</v>
      </c>
      <c r="D26" s="63" t="n">
        <v>10</v>
      </c>
      <c r="E26" s="60" t="n">
        <v>1</v>
      </c>
      <c r="F26" s="58" t="s">
        <v>290</v>
      </c>
      <c r="G26" s="61" t="n">
        <f aca="false">IF(D26="","",D26/E26)</f>
        <v>10</v>
      </c>
      <c r="H26" s="58" t="s">
        <v>291</v>
      </c>
      <c r="I26" s="62" t="s">
        <v>60</v>
      </c>
      <c r="J26" s="59" t="s">
        <v>119</v>
      </c>
      <c r="K26" s="58" t="s">
        <v>288</v>
      </c>
    </row>
    <row r="27" customFormat="false" ht="23.85" hidden="false" customHeight="false" outlineLevel="0" collapsed="false">
      <c r="A27" s="58" t="s">
        <v>120</v>
      </c>
      <c r="B27" s="59" t="s">
        <v>121</v>
      </c>
      <c r="C27" s="58" t="s">
        <v>298</v>
      </c>
      <c r="D27" s="63" t="n">
        <v>7.5</v>
      </c>
      <c r="E27" s="60" t="n">
        <v>1</v>
      </c>
      <c r="F27" s="58" t="s">
        <v>290</v>
      </c>
      <c r="G27" s="61" t="n">
        <f aca="false">IF(D27="","",D27/E27)</f>
        <v>7.5</v>
      </c>
      <c r="H27" s="58" t="s">
        <v>291</v>
      </c>
      <c r="I27" s="62" t="s">
        <v>60</v>
      </c>
      <c r="J27" s="59" t="s">
        <v>122</v>
      </c>
      <c r="K27" s="58" t="s">
        <v>288</v>
      </c>
    </row>
    <row r="28" customFormat="false" ht="15" hidden="false" customHeight="false" outlineLevel="0" collapsed="false">
      <c r="A28" s="58" t="s">
        <v>123</v>
      </c>
      <c r="B28" s="59" t="s">
        <v>124</v>
      </c>
      <c r="C28" s="58" t="s">
        <v>295</v>
      </c>
      <c r="D28" s="63" t="n">
        <v>1</v>
      </c>
      <c r="E28" s="60" t="n">
        <v>1</v>
      </c>
      <c r="F28" s="58" t="s">
        <v>290</v>
      </c>
      <c r="G28" s="61" t="n">
        <f aca="false">IF(D28="","",D28/E28)</f>
        <v>1</v>
      </c>
      <c r="H28" s="58" t="s">
        <v>291</v>
      </c>
      <c r="I28" s="62" t="s">
        <v>60</v>
      </c>
      <c r="J28" s="59"/>
      <c r="K28" s="58" t="s">
        <v>288</v>
      </c>
    </row>
    <row r="29" customFormat="false" ht="15" hidden="false" customHeight="false" outlineLevel="0" collapsed="false">
      <c r="A29" s="58" t="s">
        <v>125</v>
      </c>
      <c r="B29" s="59" t="s">
        <v>126</v>
      </c>
      <c r="C29" s="58" t="s">
        <v>289</v>
      </c>
      <c r="D29" s="63" t="n">
        <v>0.9</v>
      </c>
      <c r="E29" s="60" t="n">
        <v>1</v>
      </c>
      <c r="F29" s="58" t="s">
        <v>290</v>
      </c>
      <c r="G29" s="61" t="n">
        <f aca="false">IF(D29="","",D29/E29)</f>
        <v>0.9</v>
      </c>
      <c r="H29" s="58" t="s">
        <v>291</v>
      </c>
      <c r="I29" s="62" t="s">
        <v>60</v>
      </c>
      <c r="J29" s="59"/>
      <c r="K29" s="58" t="s">
        <v>288</v>
      </c>
    </row>
    <row r="30" customFormat="false" ht="23.85" hidden="false" customHeight="false" outlineLevel="0" collapsed="false">
      <c r="A30" s="58" t="s">
        <v>127</v>
      </c>
      <c r="B30" s="59" t="s">
        <v>129</v>
      </c>
      <c r="C30" s="58" t="s">
        <v>295</v>
      </c>
      <c r="D30" s="63" t="n">
        <v>18</v>
      </c>
      <c r="E30" s="60" t="n">
        <v>1</v>
      </c>
      <c r="F30" s="58" t="s">
        <v>290</v>
      </c>
      <c r="G30" s="61" t="n">
        <f aca="false">IF(D30="","",D30/E30)</f>
        <v>18</v>
      </c>
      <c r="H30" s="58" t="s">
        <v>291</v>
      </c>
      <c r="I30" s="62" t="s">
        <v>60</v>
      </c>
      <c r="J30" s="59" t="s">
        <v>130</v>
      </c>
      <c r="K30" s="58" t="s">
        <v>288</v>
      </c>
    </row>
    <row r="31" customFormat="false" ht="15" hidden="false" customHeight="false" outlineLevel="0" collapsed="false">
      <c r="A31" s="58" t="s">
        <v>131</v>
      </c>
      <c r="B31" s="59" t="s">
        <v>132</v>
      </c>
      <c r="C31" s="58" t="s">
        <v>292</v>
      </c>
      <c r="D31" s="63" t="n">
        <v>4</v>
      </c>
      <c r="E31" s="60" t="n">
        <v>1</v>
      </c>
      <c r="F31" s="58" t="s">
        <v>290</v>
      </c>
      <c r="G31" s="61" t="n">
        <f aca="false">IF(D31="","",D31/E31)</f>
        <v>4</v>
      </c>
      <c r="H31" s="58" t="s">
        <v>291</v>
      </c>
      <c r="I31" s="62" t="s">
        <v>60</v>
      </c>
      <c r="J31" s="59" t="s">
        <v>133</v>
      </c>
      <c r="K31" s="58" t="s">
        <v>288</v>
      </c>
    </row>
    <row r="32" customFormat="false" ht="23.85" hidden="false" customHeight="false" outlineLevel="0" collapsed="false">
      <c r="A32" s="58" t="s">
        <v>134</v>
      </c>
      <c r="B32" s="59" t="s">
        <v>135</v>
      </c>
      <c r="C32" s="58" t="s">
        <v>295</v>
      </c>
      <c r="D32" s="63" t="n">
        <v>4</v>
      </c>
      <c r="E32" s="60" t="n">
        <v>1</v>
      </c>
      <c r="F32" s="58" t="s">
        <v>290</v>
      </c>
      <c r="G32" s="61" t="n">
        <f aca="false">IF(D32="","",D32/E32)</f>
        <v>4</v>
      </c>
      <c r="H32" s="58" t="s">
        <v>291</v>
      </c>
      <c r="I32" s="62" t="s">
        <v>60</v>
      </c>
      <c r="J32" s="59" t="s">
        <v>136</v>
      </c>
      <c r="K32" s="58" t="s">
        <v>288</v>
      </c>
    </row>
    <row r="33" customFormat="false" ht="23.85" hidden="false" customHeight="false" outlineLevel="0" collapsed="false">
      <c r="A33" s="58" t="s">
        <v>137</v>
      </c>
      <c r="B33" s="59" t="s">
        <v>138</v>
      </c>
      <c r="C33" s="58" t="s">
        <v>298</v>
      </c>
      <c r="D33" s="63" t="n">
        <v>0.5</v>
      </c>
      <c r="E33" s="60" t="n">
        <v>1</v>
      </c>
      <c r="F33" s="58" t="s">
        <v>290</v>
      </c>
      <c r="G33" s="61" t="n">
        <f aca="false">IF(D33="","",D33/E33)</f>
        <v>0.5</v>
      </c>
      <c r="H33" s="58" t="s">
        <v>291</v>
      </c>
      <c r="I33" s="62" t="s">
        <v>60</v>
      </c>
      <c r="J33" s="59" t="s">
        <v>139</v>
      </c>
      <c r="K33" s="58" t="s">
        <v>288</v>
      </c>
    </row>
    <row r="34" customFormat="false" ht="23.85" hidden="false" customHeight="false" outlineLevel="0" collapsed="false">
      <c r="A34" s="58" t="s">
        <v>140</v>
      </c>
      <c r="B34" s="59" t="s">
        <v>141</v>
      </c>
      <c r="C34" s="58" t="s">
        <v>289</v>
      </c>
      <c r="D34" s="63" t="n">
        <v>90</v>
      </c>
      <c r="E34" s="60" t="n">
        <v>1</v>
      </c>
      <c r="F34" s="58" t="s">
        <v>290</v>
      </c>
      <c r="G34" s="61" t="n">
        <f aca="false">IF(D34="","",D34/E34)</f>
        <v>90</v>
      </c>
      <c r="H34" s="58" t="s">
        <v>291</v>
      </c>
      <c r="I34" s="62" t="s">
        <v>60</v>
      </c>
      <c r="J34" s="59" t="s">
        <v>142</v>
      </c>
      <c r="K34" s="58" t="s">
        <v>288</v>
      </c>
    </row>
    <row r="35" customFormat="false" ht="23.85" hidden="false" customHeight="false" outlineLevel="0" collapsed="false">
      <c r="A35" s="58" t="s">
        <v>143</v>
      </c>
      <c r="B35" s="59" t="s">
        <v>145</v>
      </c>
      <c r="C35" s="58" t="s">
        <v>292</v>
      </c>
      <c r="D35" s="63" t="n">
        <v>2</v>
      </c>
      <c r="E35" s="60" t="n">
        <v>1</v>
      </c>
      <c r="F35" s="58" t="s">
        <v>290</v>
      </c>
      <c r="G35" s="61" t="n">
        <f aca="false">IF(D35="","",D35/E35)</f>
        <v>2</v>
      </c>
      <c r="H35" s="58" t="s">
        <v>291</v>
      </c>
      <c r="I35" s="62" t="s">
        <v>60</v>
      </c>
      <c r="J35" s="59" t="s">
        <v>146</v>
      </c>
      <c r="K35" s="58" t="s">
        <v>288</v>
      </c>
    </row>
    <row r="36" customFormat="false" ht="15" hidden="false" customHeight="false" outlineLevel="0" collapsed="false">
      <c r="A36" s="58" t="s">
        <v>147</v>
      </c>
      <c r="B36" s="59" t="s">
        <v>148</v>
      </c>
      <c r="C36" s="58" t="s">
        <v>292</v>
      </c>
      <c r="D36" s="63" t="n">
        <v>3</v>
      </c>
      <c r="E36" s="60" t="n">
        <v>1</v>
      </c>
      <c r="F36" s="58" t="s">
        <v>290</v>
      </c>
      <c r="G36" s="61" t="n">
        <f aca="false">IF(D36="","",D36/E36)</f>
        <v>3</v>
      </c>
      <c r="H36" s="58" t="s">
        <v>291</v>
      </c>
      <c r="I36" s="62" t="s">
        <v>60</v>
      </c>
      <c r="J36" s="59" t="s">
        <v>149</v>
      </c>
      <c r="K36" s="58" t="s">
        <v>288</v>
      </c>
    </row>
    <row r="37" customFormat="false" ht="23.85" hidden="false" customHeight="false" outlineLevel="0" collapsed="false">
      <c r="A37" s="58" t="s">
        <v>150</v>
      </c>
      <c r="B37" s="59" t="s">
        <v>151</v>
      </c>
      <c r="C37" s="58" t="s">
        <v>292</v>
      </c>
      <c r="D37" s="63" t="n">
        <v>5</v>
      </c>
      <c r="E37" s="60" t="n">
        <v>1</v>
      </c>
      <c r="F37" s="58" t="s">
        <v>290</v>
      </c>
      <c r="G37" s="61" t="n">
        <f aca="false">IF(D37="","",D37/E37)</f>
        <v>5</v>
      </c>
      <c r="H37" s="58" t="s">
        <v>291</v>
      </c>
      <c r="I37" s="62" t="s">
        <v>60</v>
      </c>
      <c r="J37" s="59" t="s">
        <v>152</v>
      </c>
      <c r="K37" s="58" t="s">
        <v>288</v>
      </c>
    </row>
    <row r="38" customFormat="false" ht="15" hidden="false" customHeight="false" outlineLevel="0" collapsed="false">
      <c r="A38" s="58" t="s">
        <v>153</v>
      </c>
      <c r="B38" s="59" t="s">
        <v>154</v>
      </c>
      <c r="C38" s="58" t="s">
        <v>295</v>
      </c>
      <c r="D38" s="63" t="n">
        <v>5</v>
      </c>
      <c r="E38" s="60" t="n">
        <v>1</v>
      </c>
      <c r="F38" s="58" t="s">
        <v>299</v>
      </c>
      <c r="G38" s="61" t="n">
        <f aca="false">IF(D38="","",D38/E38)</f>
        <v>5</v>
      </c>
      <c r="H38" s="58" t="s">
        <v>291</v>
      </c>
      <c r="I38" s="62" t="s">
        <v>60</v>
      </c>
      <c r="J38" s="59" t="s">
        <v>155</v>
      </c>
      <c r="K38" s="58" t="s">
        <v>288</v>
      </c>
    </row>
    <row r="39" customFormat="false" ht="15" hidden="false" customHeight="false" outlineLevel="0" collapsed="false">
      <c r="A39" s="58" t="s">
        <v>156</v>
      </c>
      <c r="B39" s="59" t="s">
        <v>157</v>
      </c>
      <c r="C39" s="58" t="s">
        <v>295</v>
      </c>
      <c r="D39" s="63" t="n">
        <v>4</v>
      </c>
      <c r="E39" s="60" t="n">
        <v>1</v>
      </c>
      <c r="F39" s="58" t="s">
        <v>299</v>
      </c>
      <c r="G39" s="61" t="n">
        <f aca="false">IF(D39="","",D39/E39)</f>
        <v>4</v>
      </c>
      <c r="H39" s="58" t="s">
        <v>291</v>
      </c>
      <c r="I39" s="62" t="s">
        <v>60</v>
      </c>
      <c r="J39" s="59"/>
      <c r="K39" s="58" t="s">
        <v>288</v>
      </c>
    </row>
    <row r="40" customFormat="false" ht="15" hidden="false" customHeight="false" outlineLevel="0" collapsed="false">
      <c r="A40" s="58" t="s">
        <v>158</v>
      </c>
      <c r="B40" s="59" t="s">
        <v>159</v>
      </c>
      <c r="C40" s="58" t="s">
        <v>289</v>
      </c>
      <c r="D40" s="63" t="n">
        <v>5</v>
      </c>
      <c r="E40" s="60" t="n">
        <v>10</v>
      </c>
      <c r="F40" s="58" t="s">
        <v>300</v>
      </c>
      <c r="G40" s="61" t="n">
        <f aca="false">IF(D40="","",D40/E40)</f>
        <v>0.5</v>
      </c>
      <c r="H40" s="58" t="s">
        <v>291</v>
      </c>
      <c r="I40" s="62" t="s">
        <v>60</v>
      </c>
      <c r="J40" s="59" t="s">
        <v>160</v>
      </c>
      <c r="K40" s="58" t="s">
        <v>288</v>
      </c>
    </row>
    <row r="41" customFormat="false" ht="23.85" hidden="false" customHeight="false" outlineLevel="0" collapsed="false">
      <c r="A41" s="58" t="s">
        <v>161</v>
      </c>
      <c r="B41" s="59" t="s">
        <v>162</v>
      </c>
      <c r="C41" s="58" t="s">
        <v>301</v>
      </c>
      <c r="D41" s="63" t="n">
        <v>4</v>
      </c>
      <c r="E41" s="60" t="n">
        <v>1</v>
      </c>
      <c r="F41" s="58" t="s">
        <v>290</v>
      </c>
      <c r="G41" s="61" t="n">
        <f aca="false">IF(D41="","",D41/E41)</f>
        <v>4</v>
      </c>
      <c r="H41" s="58" t="s">
        <v>291</v>
      </c>
      <c r="I41" s="62" t="s">
        <v>60</v>
      </c>
      <c r="J41" s="59" t="s">
        <v>163</v>
      </c>
      <c r="K41" s="58" t="s">
        <v>288</v>
      </c>
    </row>
    <row r="42" customFormat="false" ht="23.85" hidden="false" customHeight="false" outlineLevel="0" collapsed="false">
      <c r="A42" s="58" t="s">
        <v>164</v>
      </c>
      <c r="B42" s="59" t="s">
        <v>165</v>
      </c>
      <c r="C42" s="58" t="s">
        <v>302</v>
      </c>
      <c r="D42" s="63" t="n">
        <v>0</v>
      </c>
      <c r="E42" s="60" t="n">
        <v>1</v>
      </c>
      <c r="F42" s="58" t="s">
        <v>302</v>
      </c>
      <c r="G42" s="61" t="n">
        <f aca="false">IF(D42="","",D42/E42)</f>
        <v>0</v>
      </c>
      <c r="H42" s="58" t="s">
        <v>291</v>
      </c>
      <c r="I42" s="58"/>
      <c r="J42" s="59" t="s">
        <v>166</v>
      </c>
      <c r="K42" s="58" t="s">
        <v>288</v>
      </c>
    </row>
    <row r="43" customFormat="false" ht="15" hidden="false" customHeight="false" outlineLevel="0" collapsed="false">
      <c r="A43" s="58" t="s">
        <v>167</v>
      </c>
      <c r="B43" s="59" t="s">
        <v>168</v>
      </c>
      <c r="C43" s="58" t="s">
        <v>302</v>
      </c>
      <c r="D43" s="63" t="n">
        <v>0</v>
      </c>
      <c r="E43" s="60" t="n">
        <v>1</v>
      </c>
      <c r="F43" s="58" t="s">
        <v>302</v>
      </c>
      <c r="G43" s="61" t="n">
        <f aca="false">IF(D43="","",D43/E43)</f>
        <v>0</v>
      </c>
      <c r="H43" s="58" t="s">
        <v>291</v>
      </c>
      <c r="I43" s="58"/>
      <c r="J43" s="59" t="s">
        <v>169</v>
      </c>
      <c r="K43" s="58" t="s">
        <v>288</v>
      </c>
    </row>
    <row r="44" customFormat="false" ht="23.85" hidden="false" customHeight="false" outlineLevel="0" collapsed="false">
      <c r="A44" s="58" t="s">
        <v>170</v>
      </c>
      <c r="B44" s="59" t="s">
        <v>172</v>
      </c>
      <c r="C44" s="58" t="s">
        <v>289</v>
      </c>
      <c r="D44" s="63" t="n">
        <v>16.2</v>
      </c>
      <c r="E44" s="60" t="n">
        <v>1</v>
      </c>
      <c r="F44" s="58" t="s">
        <v>290</v>
      </c>
      <c r="G44" s="61" t="n">
        <f aca="false">IF(D44="","",D44/E44)</f>
        <v>16.2</v>
      </c>
      <c r="H44" s="58" t="s">
        <v>291</v>
      </c>
      <c r="I44" s="62" t="s">
        <v>60</v>
      </c>
      <c r="J44" s="59" t="s">
        <v>173</v>
      </c>
      <c r="K44" s="58" t="s">
        <v>288</v>
      </c>
    </row>
    <row r="45" customFormat="false" ht="23.85" hidden="false" customHeight="false" outlineLevel="0" collapsed="false">
      <c r="A45" s="58" t="s">
        <v>174</v>
      </c>
      <c r="B45" s="59" t="s">
        <v>175</v>
      </c>
      <c r="C45" s="58" t="s">
        <v>289</v>
      </c>
      <c r="D45" s="63" t="n">
        <v>85</v>
      </c>
      <c r="E45" s="60" t="n">
        <v>1</v>
      </c>
      <c r="F45" s="58" t="s">
        <v>290</v>
      </c>
      <c r="G45" s="61" t="n">
        <f aca="false">IF(D45="","",D45/E45)</f>
        <v>85</v>
      </c>
      <c r="H45" s="58" t="s">
        <v>291</v>
      </c>
      <c r="I45" s="62" t="s">
        <v>60</v>
      </c>
      <c r="J45" s="59" t="s">
        <v>177</v>
      </c>
      <c r="K45" s="58" t="s">
        <v>288</v>
      </c>
    </row>
    <row r="46" customFormat="false" ht="15" hidden="false" customHeight="false" outlineLevel="0" collapsed="false">
      <c r="A46" s="58" t="s">
        <v>178</v>
      </c>
      <c r="B46" s="59" t="s">
        <v>179</v>
      </c>
      <c r="C46" s="58" t="s">
        <v>294</v>
      </c>
      <c r="D46" s="63" t="n">
        <v>50</v>
      </c>
      <c r="E46" s="60" t="n">
        <v>1</v>
      </c>
      <c r="F46" s="58" t="s">
        <v>290</v>
      </c>
      <c r="G46" s="61" t="n">
        <f aca="false">IF(D46="","",D46/E46)</f>
        <v>50</v>
      </c>
      <c r="H46" s="58" t="s">
        <v>291</v>
      </c>
      <c r="I46" s="62" t="s">
        <v>60</v>
      </c>
      <c r="J46" s="59" t="s">
        <v>180</v>
      </c>
      <c r="K46" s="58" t="s">
        <v>288</v>
      </c>
    </row>
    <row r="47" customFormat="false" ht="23.85" hidden="false" customHeight="false" outlineLevel="0" collapsed="false">
      <c r="A47" s="58" t="s">
        <v>181</v>
      </c>
      <c r="B47" s="59" t="s">
        <v>182</v>
      </c>
      <c r="C47" s="58" t="s">
        <v>295</v>
      </c>
      <c r="D47" s="63" t="n">
        <v>2</v>
      </c>
      <c r="E47" s="60" t="n">
        <v>1</v>
      </c>
      <c r="F47" s="58" t="s">
        <v>290</v>
      </c>
      <c r="G47" s="61" t="n">
        <f aca="false">IF(D47="","",D47/E47)</f>
        <v>2</v>
      </c>
      <c r="H47" s="58" t="s">
        <v>291</v>
      </c>
      <c r="I47" s="62" t="s">
        <v>60</v>
      </c>
      <c r="J47" s="59" t="s">
        <v>183</v>
      </c>
      <c r="K47" s="58" t="s">
        <v>288</v>
      </c>
    </row>
    <row r="48" customFormat="false" ht="15" hidden="false" customHeight="false" outlineLevel="0" collapsed="false">
      <c r="A48" s="58" t="s">
        <v>184</v>
      </c>
      <c r="B48" s="59" t="s">
        <v>185</v>
      </c>
      <c r="C48" s="58" t="s">
        <v>295</v>
      </c>
      <c r="D48" s="63" t="n">
        <v>25</v>
      </c>
      <c r="E48" s="60" t="n">
        <v>1</v>
      </c>
      <c r="F48" s="58" t="s">
        <v>290</v>
      </c>
      <c r="G48" s="61" t="n">
        <f aca="false">IF(D48="","",D48/E48)</f>
        <v>25</v>
      </c>
      <c r="H48" s="58" t="s">
        <v>291</v>
      </c>
      <c r="I48" s="62" t="s">
        <v>60</v>
      </c>
      <c r="J48" s="59" t="s">
        <v>186</v>
      </c>
      <c r="K48" s="58" t="s">
        <v>288</v>
      </c>
    </row>
    <row r="49" customFormat="false" ht="23.85" hidden="false" customHeight="false" outlineLevel="0" collapsed="false">
      <c r="A49" s="58" t="s">
        <v>187</v>
      </c>
      <c r="B49" s="59" t="s">
        <v>188</v>
      </c>
      <c r="C49" s="58" t="s">
        <v>289</v>
      </c>
      <c r="D49" s="63" t="n">
        <v>35</v>
      </c>
      <c r="E49" s="60" t="n">
        <v>1</v>
      </c>
      <c r="F49" s="58" t="s">
        <v>290</v>
      </c>
      <c r="G49" s="61" t="n">
        <f aca="false">IF(D49="","",D49/E49)</f>
        <v>35</v>
      </c>
      <c r="H49" s="58" t="s">
        <v>291</v>
      </c>
      <c r="I49" s="62" t="s">
        <v>60</v>
      </c>
      <c r="J49" s="59" t="s">
        <v>189</v>
      </c>
      <c r="K49" s="58" t="s">
        <v>288</v>
      </c>
    </row>
    <row r="50" customFormat="false" ht="15" hidden="false" customHeight="false" outlineLevel="0" collapsed="false">
      <c r="A50" s="58" t="s">
        <v>190</v>
      </c>
      <c r="B50" s="59" t="s">
        <v>191</v>
      </c>
      <c r="C50" s="58" t="s">
        <v>295</v>
      </c>
      <c r="D50" s="63" t="n">
        <v>25</v>
      </c>
      <c r="E50" s="60" t="n">
        <v>1</v>
      </c>
      <c r="F50" s="58" t="s">
        <v>290</v>
      </c>
      <c r="G50" s="61" t="n">
        <f aca="false">IF(D50="","",D50/E50)</f>
        <v>25</v>
      </c>
      <c r="H50" s="58" t="s">
        <v>291</v>
      </c>
      <c r="I50" s="62" t="s">
        <v>60</v>
      </c>
      <c r="J50" s="59"/>
      <c r="K50" s="58" t="s">
        <v>288</v>
      </c>
    </row>
    <row r="51" customFormat="false" ht="15" hidden="false" customHeight="false" outlineLevel="0" collapsed="false">
      <c r="A51" s="58" t="s">
        <v>192</v>
      </c>
      <c r="B51" s="59" t="s">
        <v>193</v>
      </c>
      <c r="C51" s="58" t="s">
        <v>295</v>
      </c>
      <c r="D51" s="63" t="n">
        <v>30</v>
      </c>
      <c r="E51" s="60" t="n">
        <v>1</v>
      </c>
      <c r="F51" s="58" t="s">
        <v>290</v>
      </c>
      <c r="G51" s="61" t="n">
        <f aca="false">IF(D51="","",D51/E51)</f>
        <v>30</v>
      </c>
      <c r="H51" s="58" t="s">
        <v>291</v>
      </c>
      <c r="I51" s="62" t="s">
        <v>60</v>
      </c>
      <c r="J51" s="59" t="s">
        <v>194</v>
      </c>
      <c r="K51" s="58" t="s">
        <v>288</v>
      </c>
    </row>
    <row r="52" customFormat="false" ht="23.85" hidden="false" customHeight="false" outlineLevel="0" collapsed="false">
      <c r="A52" s="58" t="s">
        <v>195</v>
      </c>
      <c r="B52" s="59" t="s">
        <v>196</v>
      </c>
      <c r="C52" s="58" t="s">
        <v>289</v>
      </c>
      <c r="D52" s="63" t="n">
        <v>70</v>
      </c>
      <c r="E52" s="60" t="n">
        <v>1</v>
      </c>
      <c r="F52" s="58" t="s">
        <v>290</v>
      </c>
      <c r="G52" s="61" t="n">
        <f aca="false">IF(D52="","",D52/E52)</f>
        <v>70</v>
      </c>
      <c r="H52" s="58" t="s">
        <v>291</v>
      </c>
      <c r="I52" s="62" t="s">
        <v>60</v>
      </c>
      <c r="J52" s="59" t="s">
        <v>197</v>
      </c>
      <c r="K52" s="58" t="s">
        <v>288</v>
      </c>
    </row>
    <row r="53" customFormat="false" ht="23.85" hidden="false" customHeight="false" outlineLevel="0" collapsed="false">
      <c r="A53" s="58" t="s">
        <v>198</v>
      </c>
      <c r="B53" s="59" t="s">
        <v>199</v>
      </c>
      <c r="C53" s="58" t="s">
        <v>294</v>
      </c>
      <c r="D53" s="63" t="n">
        <v>29</v>
      </c>
      <c r="E53" s="60" t="n">
        <v>1</v>
      </c>
      <c r="F53" s="58" t="s">
        <v>290</v>
      </c>
      <c r="G53" s="61" t="n">
        <f aca="false">IF(D53="","",D53/E53)</f>
        <v>29</v>
      </c>
      <c r="H53" s="58" t="s">
        <v>291</v>
      </c>
      <c r="I53" s="62" t="s">
        <v>60</v>
      </c>
      <c r="J53" s="59" t="s">
        <v>200</v>
      </c>
      <c r="K53" s="58" t="s">
        <v>288</v>
      </c>
    </row>
    <row r="54" customFormat="false" ht="15" hidden="false" customHeight="false" outlineLevel="0" collapsed="false">
      <c r="A54" s="58" t="s">
        <v>201</v>
      </c>
      <c r="B54" s="59" t="s">
        <v>202</v>
      </c>
      <c r="C54" s="58" t="s">
        <v>289</v>
      </c>
      <c r="D54" s="63" t="n">
        <v>3</v>
      </c>
      <c r="E54" s="60" t="n">
        <v>1</v>
      </c>
      <c r="F54" s="58" t="s">
        <v>290</v>
      </c>
      <c r="G54" s="61" t="n">
        <f aca="false">IF(D54="","",D54/E54)</f>
        <v>3</v>
      </c>
      <c r="H54" s="58" t="s">
        <v>291</v>
      </c>
      <c r="I54" s="62" t="s">
        <v>60</v>
      </c>
      <c r="J54" s="59"/>
      <c r="K54" s="58" t="s">
        <v>288</v>
      </c>
    </row>
    <row r="55" customFormat="false" ht="23.85" hidden="false" customHeight="false" outlineLevel="0" collapsed="false">
      <c r="A55" s="58" t="s">
        <v>203</v>
      </c>
      <c r="B55" s="59" t="s">
        <v>204</v>
      </c>
      <c r="C55" s="58" t="s">
        <v>289</v>
      </c>
      <c r="D55" s="63" t="n">
        <v>50</v>
      </c>
      <c r="E55" s="60" t="n">
        <v>1</v>
      </c>
      <c r="F55" s="58" t="s">
        <v>290</v>
      </c>
      <c r="G55" s="61" t="n">
        <f aca="false">IF(D55="","",D55/E55)</f>
        <v>50</v>
      </c>
      <c r="H55" s="58" t="s">
        <v>291</v>
      </c>
      <c r="I55" s="62" t="s">
        <v>60</v>
      </c>
      <c r="J55" s="59" t="s">
        <v>205</v>
      </c>
      <c r="K55" s="58" t="s">
        <v>288</v>
      </c>
    </row>
    <row r="56" customFormat="false" ht="35.05" hidden="false" customHeight="false" outlineLevel="0" collapsed="false">
      <c r="A56" s="58" t="s">
        <v>206</v>
      </c>
      <c r="B56" s="59" t="s">
        <v>207</v>
      </c>
      <c r="C56" s="58" t="s">
        <v>295</v>
      </c>
      <c r="D56" s="63" t="n">
        <v>18</v>
      </c>
      <c r="E56" s="60" t="n">
        <v>1</v>
      </c>
      <c r="F56" s="58" t="s">
        <v>290</v>
      </c>
      <c r="G56" s="61" t="n">
        <f aca="false">IF(D56="","",D56/E56)</f>
        <v>18</v>
      </c>
      <c r="H56" s="58" t="s">
        <v>291</v>
      </c>
      <c r="I56" s="62" t="s">
        <v>60</v>
      </c>
      <c r="J56" s="59" t="s">
        <v>208</v>
      </c>
      <c r="K56" s="58" t="s">
        <v>288</v>
      </c>
    </row>
    <row r="57" customFormat="false" ht="23.85" hidden="false" customHeight="false" outlineLevel="0" collapsed="false">
      <c r="A57" s="58" t="s">
        <v>209</v>
      </c>
      <c r="B57" s="59" t="s">
        <v>210</v>
      </c>
      <c r="C57" s="58" t="s">
        <v>289</v>
      </c>
      <c r="D57" s="63" t="n">
        <v>0.9</v>
      </c>
      <c r="E57" s="60" t="n">
        <v>1</v>
      </c>
      <c r="F57" s="58" t="s">
        <v>290</v>
      </c>
      <c r="G57" s="61" t="n">
        <f aca="false">IF(D57="","",D57/E57)</f>
        <v>0.9</v>
      </c>
      <c r="H57" s="58" t="s">
        <v>291</v>
      </c>
      <c r="I57" s="62" t="s">
        <v>60</v>
      </c>
      <c r="J57" s="59"/>
      <c r="K57" s="58" t="s">
        <v>288</v>
      </c>
    </row>
    <row r="58" customFormat="false" ht="15" hidden="false" customHeight="false" outlineLevel="0" collapsed="false">
      <c r="A58" s="58" t="s">
        <v>211</v>
      </c>
      <c r="B58" s="59" t="s">
        <v>213</v>
      </c>
      <c r="C58" s="58" t="s">
        <v>289</v>
      </c>
      <c r="D58" s="63" t="n">
        <v>15</v>
      </c>
      <c r="E58" s="60" t="n">
        <v>1</v>
      </c>
      <c r="F58" s="58" t="s">
        <v>290</v>
      </c>
      <c r="G58" s="61" t="n">
        <f aca="false">IF(D58="","",D58/E58)</f>
        <v>15</v>
      </c>
      <c r="H58" s="58" t="s">
        <v>291</v>
      </c>
      <c r="I58" s="62" t="s">
        <v>60</v>
      </c>
      <c r="J58" s="59" t="s">
        <v>215</v>
      </c>
      <c r="K58" s="58" t="s">
        <v>288</v>
      </c>
    </row>
    <row r="59" customFormat="false" ht="15" hidden="false" customHeight="false" outlineLevel="0" collapsed="false">
      <c r="A59" s="58" t="s">
        <v>216</v>
      </c>
      <c r="B59" s="59" t="s">
        <v>217</v>
      </c>
      <c r="C59" s="58" t="s">
        <v>289</v>
      </c>
      <c r="D59" s="63" t="n">
        <v>16</v>
      </c>
      <c r="E59" s="60" t="n">
        <v>1</v>
      </c>
      <c r="F59" s="58" t="s">
        <v>290</v>
      </c>
      <c r="G59" s="61" t="n">
        <f aca="false">IF(D59="","",D59/E59)</f>
        <v>16</v>
      </c>
      <c r="H59" s="58" t="s">
        <v>291</v>
      </c>
      <c r="I59" s="62" t="s">
        <v>60</v>
      </c>
      <c r="J59" s="59"/>
      <c r="K59" s="58" t="s">
        <v>288</v>
      </c>
    </row>
    <row r="60" customFormat="false" ht="15" hidden="false" customHeight="false" outlineLevel="0" collapsed="false">
      <c r="A60" s="58" t="s">
        <v>218</v>
      </c>
      <c r="B60" s="59" t="s">
        <v>219</v>
      </c>
      <c r="C60" s="58" t="s">
        <v>289</v>
      </c>
      <c r="D60" s="63" t="n">
        <v>55</v>
      </c>
      <c r="E60" s="60" t="n">
        <v>1</v>
      </c>
      <c r="F60" s="58" t="s">
        <v>290</v>
      </c>
      <c r="G60" s="61" t="n">
        <f aca="false">IF(D60="","",D60/E60)</f>
        <v>55</v>
      </c>
      <c r="H60" s="58" t="s">
        <v>291</v>
      </c>
      <c r="I60" s="62" t="s">
        <v>60</v>
      </c>
      <c r="J60" s="59" t="s">
        <v>220</v>
      </c>
      <c r="K60" s="58" t="s">
        <v>288</v>
      </c>
    </row>
    <row r="61" customFormat="false" ht="15" hidden="false" customHeight="false" outlineLevel="0" collapsed="false">
      <c r="A61" s="58" t="s">
        <v>221</v>
      </c>
      <c r="B61" s="59" t="s">
        <v>222</v>
      </c>
      <c r="C61" s="58" t="s">
        <v>292</v>
      </c>
      <c r="D61" s="63" t="n">
        <v>9</v>
      </c>
      <c r="E61" s="60" t="n">
        <v>1</v>
      </c>
      <c r="F61" s="58" t="s">
        <v>290</v>
      </c>
      <c r="G61" s="61" t="n">
        <f aca="false">IF(D61="","",D61/E61)</f>
        <v>9</v>
      </c>
      <c r="H61" s="58" t="s">
        <v>291</v>
      </c>
      <c r="I61" s="62" t="s">
        <v>60</v>
      </c>
      <c r="J61" s="59"/>
      <c r="K61" s="58" t="s">
        <v>288</v>
      </c>
    </row>
    <row r="62" customFormat="false" ht="23.85" hidden="false" customHeight="false" outlineLevel="0" collapsed="false">
      <c r="A62" s="58" t="s">
        <v>223</v>
      </c>
      <c r="B62" s="59" t="s">
        <v>224</v>
      </c>
      <c r="C62" s="58" t="s">
        <v>303</v>
      </c>
      <c r="D62" s="63" t="n">
        <v>110</v>
      </c>
      <c r="E62" s="60" t="n">
        <v>1</v>
      </c>
      <c r="F62" s="58" t="s">
        <v>290</v>
      </c>
      <c r="G62" s="61" t="n">
        <f aca="false">IF(D62="","",D62/E62)</f>
        <v>110</v>
      </c>
      <c r="H62" s="58" t="s">
        <v>291</v>
      </c>
      <c r="I62" s="62" t="s">
        <v>60</v>
      </c>
      <c r="J62" s="59" t="s">
        <v>225</v>
      </c>
      <c r="K62" s="58" t="s">
        <v>288</v>
      </c>
    </row>
    <row r="63" customFormat="false" ht="23.85" hidden="false" customHeight="false" outlineLevel="0" collapsed="false">
      <c r="A63" s="58" t="s">
        <v>226</v>
      </c>
      <c r="B63" s="59" t="s">
        <v>227</v>
      </c>
      <c r="C63" s="58" t="s">
        <v>298</v>
      </c>
      <c r="D63" s="63" t="n">
        <v>50</v>
      </c>
      <c r="E63" s="60" t="n">
        <v>1</v>
      </c>
      <c r="F63" s="58" t="s">
        <v>290</v>
      </c>
      <c r="G63" s="61" t="n">
        <f aca="false">IF(D63="","",D63/E63)</f>
        <v>50</v>
      </c>
      <c r="H63" s="58" t="s">
        <v>291</v>
      </c>
      <c r="I63" s="62" t="s">
        <v>60</v>
      </c>
      <c r="J63" s="59" t="s">
        <v>228</v>
      </c>
      <c r="K63" s="58" t="s">
        <v>288</v>
      </c>
    </row>
    <row r="64" customFormat="false" ht="15" hidden="false" customHeight="false" outlineLevel="0" collapsed="false">
      <c r="A64" s="58" t="s">
        <v>229</v>
      </c>
      <c r="B64" s="59" t="s">
        <v>230</v>
      </c>
      <c r="C64" s="58" t="s">
        <v>295</v>
      </c>
      <c r="D64" s="63" t="n">
        <v>35</v>
      </c>
      <c r="E64" s="60" t="n">
        <v>1</v>
      </c>
      <c r="F64" s="58" t="s">
        <v>290</v>
      </c>
      <c r="G64" s="61" t="n">
        <f aca="false">IF(D64="","",D64/E64)</f>
        <v>35</v>
      </c>
      <c r="H64" s="58" t="s">
        <v>291</v>
      </c>
      <c r="I64" s="62" t="s">
        <v>60</v>
      </c>
      <c r="J64" s="59" t="s">
        <v>231</v>
      </c>
      <c r="K64" s="58" t="s">
        <v>288</v>
      </c>
    </row>
    <row r="65" customFormat="false" ht="15" hidden="false" customHeight="false" outlineLevel="0" collapsed="false">
      <c r="A65" s="58" t="s">
        <v>232</v>
      </c>
      <c r="B65" s="59" t="s">
        <v>233</v>
      </c>
      <c r="C65" s="58" t="s">
        <v>289</v>
      </c>
      <c r="D65" s="63" t="n">
        <v>25</v>
      </c>
      <c r="E65" s="60" t="n">
        <v>1</v>
      </c>
      <c r="F65" s="58" t="s">
        <v>290</v>
      </c>
      <c r="G65" s="61" t="n">
        <f aca="false">IF(D65="","",D65/E65)</f>
        <v>25</v>
      </c>
      <c r="H65" s="58" t="s">
        <v>291</v>
      </c>
      <c r="I65" s="62" t="s">
        <v>60</v>
      </c>
      <c r="J65" s="59" t="s">
        <v>234</v>
      </c>
      <c r="K65" s="58" t="s">
        <v>288</v>
      </c>
    </row>
    <row r="66" customFormat="false" ht="23.85" hidden="false" customHeight="false" outlineLevel="0" collapsed="false">
      <c r="A66" s="58" t="s">
        <v>235</v>
      </c>
      <c r="B66" s="59" t="s">
        <v>236</v>
      </c>
      <c r="C66" s="58" t="s">
        <v>304</v>
      </c>
      <c r="D66" s="63"/>
      <c r="E66" s="60" t="n">
        <v>1</v>
      </c>
      <c r="F66" s="58" t="s">
        <v>290</v>
      </c>
      <c r="G66" s="61" t="str">
        <f aca="false">IF(D66="","",D66/E66)</f>
        <v/>
      </c>
      <c r="H66" s="58" t="s">
        <v>291</v>
      </c>
      <c r="I66" s="58"/>
      <c r="J66" s="59" t="s">
        <v>237</v>
      </c>
      <c r="K66" s="58" t="s">
        <v>288</v>
      </c>
    </row>
    <row r="67" customFormat="false" ht="23.85" hidden="false" customHeight="false" outlineLevel="0" collapsed="false">
      <c r="A67" s="58" t="s">
        <v>238</v>
      </c>
      <c r="B67" s="59" t="s">
        <v>239</v>
      </c>
      <c r="C67" s="58" t="s">
        <v>305</v>
      </c>
      <c r="D67" s="63" t="n">
        <v>490</v>
      </c>
      <c r="E67" s="60" t="n">
        <v>1</v>
      </c>
      <c r="F67" s="58" t="s">
        <v>290</v>
      </c>
      <c r="G67" s="61" t="n">
        <f aca="false">IF(D67="","",D67/E67)</f>
        <v>490</v>
      </c>
      <c r="H67" s="58" t="s">
        <v>291</v>
      </c>
      <c r="I67" s="62" t="s">
        <v>60</v>
      </c>
      <c r="J67" s="59" t="s">
        <v>240</v>
      </c>
      <c r="K67" s="58" t="s">
        <v>288</v>
      </c>
    </row>
    <row r="68" customFormat="false" ht="15" hidden="false" customHeight="false" outlineLevel="0" collapsed="false">
      <c r="A68" s="58" t="s">
        <v>241</v>
      </c>
      <c r="B68" s="59" t="s">
        <v>242</v>
      </c>
      <c r="C68" s="58" t="s">
        <v>306</v>
      </c>
      <c r="D68" s="63" t="n">
        <v>299</v>
      </c>
      <c r="E68" s="60" t="n">
        <v>1</v>
      </c>
      <c r="F68" s="58" t="s">
        <v>290</v>
      </c>
      <c r="G68" s="61" t="n">
        <f aca="false">IF(D68="","",D68/E68)</f>
        <v>299</v>
      </c>
      <c r="H68" s="58" t="s">
        <v>291</v>
      </c>
      <c r="I68" s="62" t="s">
        <v>60</v>
      </c>
      <c r="J68" s="59" t="s">
        <v>243</v>
      </c>
      <c r="K68" s="58" t="s">
        <v>288</v>
      </c>
    </row>
    <row r="69" customFormat="false" ht="15" hidden="false" customHeight="false" outlineLevel="0" collapsed="false">
      <c r="A69" s="58" t="s">
        <v>244</v>
      </c>
      <c r="B69" s="59" t="s">
        <v>245</v>
      </c>
      <c r="C69" s="58" t="s">
        <v>307</v>
      </c>
      <c r="D69" s="63" t="n">
        <v>179</v>
      </c>
      <c r="E69" s="60" t="n">
        <v>1</v>
      </c>
      <c r="F69" s="58" t="s">
        <v>290</v>
      </c>
      <c r="G69" s="61" t="n">
        <f aca="false">IF(D69="","",D69/E69)</f>
        <v>179</v>
      </c>
      <c r="H69" s="58" t="s">
        <v>291</v>
      </c>
      <c r="I69" s="62" t="s">
        <v>60</v>
      </c>
      <c r="J69" s="59" t="s">
        <v>246</v>
      </c>
      <c r="K69" s="58" t="s">
        <v>288</v>
      </c>
    </row>
    <row r="70" customFormat="false" ht="23.85" hidden="false" customHeight="false" outlineLevel="0" collapsed="false">
      <c r="A70" s="58" t="s">
        <v>247</v>
      </c>
      <c r="B70" s="59" t="s">
        <v>248</v>
      </c>
      <c r="C70" s="58" t="s">
        <v>308</v>
      </c>
      <c r="D70" s="63" t="n">
        <v>12</v>
      </c>
      <c r="E70" s="60" t="n">
        <v>1</v>
      </c>
      <c r="F70" s="58" t="s">
        <v>290</v>
      </c>
      <c r="G70" s="61" t="n">
        <f aca="false">IF(D70="","",D70/E70)</f>
        <v>12</v>
      </c>
      <c r="H70" s="58" t="s">
        <v>291</v>
      </c>
      <c r="I70" s="62" t="s">
        <v>60</v>
      </c>
      <c r="J70" s="59" t="s">
        <v>249</v>
      </c>
      <c r="K70" s="58" t="s">
        <v>288</v>
      </c>
    </row>
    <row r="71" customFormat="false" ht="23.85" hidden="false" customHeight="false" outlineLevel="0" collapsed="false">
      <c r="A71" s="58" t="s">
        <v>250</v>
      </c>
      <c r="B71" s="59" t="s">
        <v>252</v>
      </c>
      <c r="C71" s="58" t="s">
        <v>309</v>
      </c>
      <c r="D71" s="63" t="n">
        <v>120</v>
      </c>
      <c r="E71" s="60" t="n">
        <v>60</v>
      </c>
      <c r="F71" s="58" t="s">
        <v>310</v>
      </c>
      <c r="G71" s="61" t="n">
        <f aca="false">IF(D71="","",D71/E71)</f>
        <v>2</v>
      </c>
      <c r="H71" s="58" t="s">
        <v>291</v>
      </c>
      <c r="I71" s="62" t="s">
        <v>60</v>
      </c>
      <c r="J71" s="59" t="s">
        <v>253</v>
      </c>
      <c r="K71" s="58" t="s">
        <v>288</v>
      </c>
    </row>
    <row r="72" customFormat="false" ht="15" hidden="false" customHeight="false" outlineLevel="0" collapsed="false">
      <c r="A72" s="58" t="s">
        <v>254</v>
      </c>
      <c r="B72" s="59" t="s">
        <v>255</v>
      </c>
      <c r="C72" s="58" t="s">
        <v>309</v>
      </c>
      <c r="D72" s="63" t="n">
        <v>0</v>
      </c>
      <c r="E72" s="60" t="n">
        <v>1</v>
      </c>
      <c r="F72" s="58" t="s">
        <v>311</v>
      </c>
      <c r="G72" s="61" t="n">
        <f aca="false">IF(D72="","",D72/E72)</f>
        <v>0</v>
      </c>
      <c r="H72" s="58" t="s">
        <v>291</v>
      </c>
      <c r="I72" s="58"/>
      <c r="J72" s="59" t="s">
        <v>256</v>
      </c>
      <c r="K72" s="58" t="s">
        <v>288</v>
      </c>
    </row>
    <row r="73" customFormat="false" ht="23.85" hidden="false" customHeight="false" outlineLevel="0" collapsed="false">
      <c r="A73" s="58" t="s">
        <v>257</v>
      </c>
      <c r="B73" s="59" t="s">
        <v>258</v>
      </c>
      <c r="C73" s="58" t="s">
        <v>312</v>
      </c>
      <c r="D73" s="63" t="n">
        <v>352</v>
      </c>
      <c r="E73" s="60" t="n">
        <v>1</v>
      </c>
      <c r="F73" s="58" t="s">
        <v>290</v>
      </c>
      <c r="G73" s="61" t="n">
        <f aca="false">IF(D73="","",D73/E73)</f>
        <v>352</v>
      </c>
      <c r="H73" s="58" t="s">
        <v>291</v>
      </c>
      <c r="I73" s="62" t="s">
        <v>60</v>
      </c>
      <c r="J73" s="59" t="s">
        <v>259</v>
      </c>
      <c r="K73" s="58" t="s">
        <v>288</v>
      </c>
    </row>
    <row r="74" customFormat="false" ht="15" hidden="false" customHeight="false" outlineLevel="0" collapsed="false">
      <c r="A74" s="58" t="s">
        <v>260</v>
      </c>
      <c r="B74" s="59" t="s">
        <v>261</v>
      </c>
      <c r="C74" s="58" t="s">
        <v>313</v>
      </c>
      <c r="D74" s="63"/>
      <c r="E74" s="60" t="n">
        <v>1</v>
      </c>
      <c r="F74" s="58" t="s">
        <v>290</v>
      </c>
      <c r="G74" s="61" t="str">
        <f aca="false">IF(D74="","",D74/E74)</f>
        <v/>
      </c>
      <c r="H74" s="58" t="s">
        <v>291</v>
      </c>
      <c r="I74" s="58"/>
      <c r="J74" s="59" t="s">
        <v>262</v>
      </c>
      <c r="K74" s="58" t="s">
        <v>288</v>
      </c>
    </row>
    <row r="75" customFormat="false" ht="15" hidden="false" customHeight="false" outlineLevel="0" collapsed="false">
      <c r="A75" s="58" t="s">
        <v>263</v>
      </c>
      <c r="B75" s="59" t="s">
        <v>264</v>
      </c>
      <c r="C75" s="58" t="s">
        <v>314</v>
      </c>
      <c r="D75" s="63" t="n">
        <v>3.5</v>
      </c>
      <c r="E75" s="60" t="n">
        <v>1</v>
      </c>
      <c r="F75" s="58" t="s">
        <v>315</v>
      </c>
      <c r="G75" s="61" t="n">
        <f aca="false">IF(D75="","",D75/E75)</f>
        <v>3.5</v>
      </c>
      <c r="H75" s="58" t="s">
        <v>291</v>
      </c>
      <c r="I75" s="62" t="s">
        <v>60</v>
      </c>
      <c r="J75" s="59" t="s">
        <v>265</v>
      </c>
      <c r="K75" s="58" t="s">
        <v>288</v>
      </c>
    </row>
    <row r="76" customFormat="false" ht="15" hidden="false" customHeight="false" outlineLevel="0" collapsed="false">
      <c r="A76" s="58" t="s">
        <v>266</v>
      </c>
      <c r="B76" s="59" t="s">
        <v>267</v>
      </c>
      <c r="C76" s="58" t="s">
        <v>314</v>
      </c>
      <c r="D76" s="63" t="n">
        <v>8</v>
      </c>
      <c r="E76" s="60" t="n">
        <v>1</v>
      </c>
      <c r="F76" s="58" t="s">
        <v>315</v>
      </c>
      <c r="G76" s="61" t="n">
        <f aca="false">IF(D76="","",D76/E76)</f>
        <v>8</v>
      </c>
      <c r="H76" s="58" t="s">
        <v>291</v>
      </c>
      <c r="I76" s="62" t="s">
        <v>60</v>
      </c>
      <c r="J76" s="59" t="s">
        <v>268</v>
      </c>
      <c r="K76" s="58" t="s">
        <v>288</v>
      </c>
    </row>
    <row r="77" customFormat="false" ht="15" hidden="false" customHeight="false" outlineLevel="0" collapsed="false">
      <c r="A77" s="58" t="s">
        <v>270</v>
      </c>
      <c r="B77" s="59" t="s">
        <v>272</v>
      </c>
      <c r="C77" s="58" t="s">
        <v>295</v>
      </c>
      <c r="D77" s="63" t="n">
        <v>250</v>
      </c>
      <c r="E77" s="60" t="n">
        <v>1</v>
      </c>
      <c r="F77" s="58" t="s">
        <v>316</v>
      </c>
      <c r="G77" s="61" t="n">
        <f aca="false">IF(D77="","",D77/E77)</f>
        <v>250</v>
      </c>
      <c r="H77" s="58" t="s">
        <v>291</v>
      </c>
      <c r="I77" s="62" t="s">
        <v>60</v>
      </c>
      <c r="J77" s="59" t="s">
        <v>317</v>
      </c>
      <c r="K77" s="58" t="s">
        <v>288</v>
      </c>
    </row>
    <row r="78" customFormat="false" ht="15" hidden="false" customHeight="false" outlineLevel="0" collapsed="false">
      <c r="A78" s="58" t="s">
        <v>274</v>
      </c>
      <c r="B78" s="59" t="s">
        <v>275</v>
      </c>
      <c r="C78" s="58" t="s">
        <v>294</v>
      </c>
      <c r="D78" s="63" t="n">
        <v>400</v>
      </c>
      <c r="E78" s="60" t="n">
        <v>1</v>
      </c>
      <c r="F78" s="58" t="s">
        <v>318</v>
      </c>
      <c r="G78" s="61" t="n">
        <f aca="false">IF(D78="","",D78/E78)</f>
        <v>400</v>
      </c>
      <c r="H78" s="58" t="s">
        <v>291</v>
      </c>
      <c r="I78" s="62" t="s">
        <v>60</v>
      </c>
      <c r="J78" s="59" t="s">
        <v>319</v>
      </c>
      <c r="K78" s="58" t="s">
        <v>288</v>
      </c>
    </row>
    <row r="79" customFormat="false" ht="15" hidden="false" customHeight="false" outlineLevel="0" collapsed="false">
      <c r="A79" s="58" t="s">
        <v>277</v>
      </c>
      <c r="B79" s="59" t="s">
        <v>278</v>
      </c>
      <c r="C79" s="58" t="s">
        <v>292</v>
      </c>
      <c r="D79" s="63" t="n">
        <v>6</v>
      </c>
      <c r="E79" s="60" t="n">
        <v>1</v>
      </c>
      <c r="F79" s="58" t="s">
        <v>300</v>
      </c>
      <c r="G79" s="61" t="n">
        <f aca="false">IF(D79="","",D79/E79)</f>
        <v>6</v>
      </c>
      <c r="H79" s="58" t="s">
        <v>291</v>
      </c>
      <c r="I79" s="62" t="s">
        <v>60</v>
      </c>
      <c r="J79" s="59" t="s">
        <v>320</v>
      </c>
      <c r="K79" s="58" t="s">
        <v>288</v>
      </c>
    </row>
  </sheetData>
  <autoFilter ref="A4:K79"/>
  <hyperlinks>
    <hyperlink ref="I5" r:id="rId1" display="lien"/>
    <hyperlink ref="I6" r:id="rId2" display="lien"/>
    <hyperlink ref="I7" r:id="rId3" display="lien"/>
    <hyperlink ref="I8" r:id="rId4" display="lien"/>
    <hyperlink ref="I9" r:id="rId5" display="lien"/>
    <hyperlink ref="I10" r:id="rId6" display="lien"/>
    <hyperlink ref="I11" r:id="rId7" display="lien"/>
    <hyperlink ref="I12" r:id="rId8" display="lien"/>
    <hyperlink ref="I13" r:id="rId9" display="lien"/>
    <hyperlink ref="I14" r:id="rId10" display="lien"/>
    <hyperlink ref="I15" r:id="rId11" display="lien"/>
    <hyperlink ref="I16" r:id="rId12" display="lien"/>
    <hyperlink ref="I17" r:id="rId13" display="lien"/>
    <hyperlink ref="I18" r:id="rId14" display="lien"/>
    <hyperlink ref="I19" r:id="rId15" display="lien"/>
    <hyperlink ref="I20" r:id="rId16" display="lien"/>
    <hyperlink ref="I21" r:id="rId17" display="lien"/>
    <hyperlink ref="I22" r:id="rId18" display="lien"/>
    <hyperlink ref="I23" r:id="rId19" display="lien"/>
    <hyperlink ref="I24" r:id="rId20" display="lien"/>
    <hyperlink ref="I25" r:id="rId21" display="lien"/>
    <hyperlink ref="I26" r:id="rId22" display="lien"/>
    <hyperlink ref="I27" r:id="rId23" display="lien"/>
    <hyperlink ref="I28" r:id="rId24" display="lien"/>
    <hyperlink ref="I29" r:id="rId25" display="lien"/>
    <hyperlink ref="I30" r:id="rId26" display="lien"/>
    <hyperlink ref="I31" r:id="rId27" display="lien"/>
    <hyperlink ref="I32" r:id="rId28" display="lien"/>
    <hyperlink ref="I33" r:id="rId29" display="lien"/>
    <hyperlink ref="I34" r:id="rId30" display="lien"/>
    <hyperlink ref="I35" r:id="rId31" display="lien"/>
    <hyperlink ref="I36" r:id="rId32" display="lien"/>
    <hyperlink ref="I37" r:id="rId33" display="lien"/>
    <hyperlink ref="I38" r:id="rId34" display="lien"/>
    <hyperlink ref="I39" r:id="rId35" display="lien"/>
    <hyperlink ref="I40" r:id="rId36" display="lien"/>
    <hyperlink ref="I41" r:id="rId37" display="lien"/>
    <hyperlink ref="I44" r:id="rId38" display="lien"/>
    <hyperlink ref="I45" r:id="rId39" display="lien"/>
    <hyperlink ref="I46" r:id="rId40" display="lien"/>
    <hyperlink ref="I47" r:id="rId41" display="lien"/>
    <hyperlink ref="I48" r:id="rId42" display="lien"/>
    <hyperlink ref="I49" r:id="rId43" display="lien"/>
    <hyperlink ref="I50" r:id="rId44" display="lien"/>
    <hyperlink ref="I51" r:id="rId45" display="lien"/>
    <hyperlink ref="I52" r:id="rId46" display="lien"/>
    <hyperlink ref="I53" r:id="rId47" display="lien"/>
    <hyperlink ref="I54" r:id="rId48" display="lien"/>
    <hyperlink ref="I55" r:id="rId49" display="lien"/>
    <hyperlink ref="I56" r:id="rId50" display="lien"/>
    <hyperlink ref="I57" r:id="rId51" display="lien"/>
    <hyperlink ref="I58" r:id="rId52" display="lien"/>
    <hyperlink ref="I59" r:id="rId53" display="lien"/>
    <hyperlink ref="I60" r:id="rId54" display="lien"/>
    <hyperlink ref="I61" r:id="rId55" display="lien"/>
    <hyperlink ref="I62" r:id="rId56" display="lien"/>
    <hyperlink ref="I63" r:id="rId57" display="lien"/>
    <hyperlink ref="I64" r:id="rId58" display="lien"/>
    <hyperlink ref="I65" r:id="rId59" display="lien"/>
    <hyperlink ref="I67" r:id="rId60" display="lien"/>
    <hyperlink ref="I68" r:id="rId61" display="lien"/>
    <hyperlink ref="I69" r:id="rId62" display="lien"/>
    <hyperlink ref="I70" r:id="rId63" display="lien"/>
    <hyperlink ref="I71" r:id="rId64" display="lien"/>
    <hyperlink ref="I73" r:id="rId65" display="lien"/>
    <hyperlink ref="I75" r:id="rId66" display="lien"/>
    <hyperlink ref="I76" r:id="rId67" display="lien"/>
    <hyperlink ref="I77" r:id="rId68" display="lien"/>
    <hyperlink ref="I78" r:id="rId69" display="lien"/>
    <hyperlink ref="I79" r:id="rId70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7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58"/>
    <col collapsed="false" customWidth="true" hidden="false" outlineLevel="0" max="12" min="12" style="0" width="6"/>
  </cols>
  <sheetData>
    <row r="1" customFormat="false" ht="17.35" hidden="false" customHeight="false" outlineLevel="0" collapsed="false">
      <c r="A1" s="7" t="s">
        <v>321</v>
      </c>
    </row>
    <row r="2" customFormat="false" ht="15" hidden="false" customHeight="false" outlineLevel="0" collapsed="false">
      <c r="A2" s="8" t="s">
        <v>322</v>
      </c>
    </row>
    <row r="4" customFormat="false" ht="15" hidden="false" customHeight="false" outlineLevel="0" collapsed="false">
      <c r="A4" s="13" t="s">
        <v>323</v>
      </c>
    </row>
    <row r="5" customFormat="false" ht="15" hidden="false" customHeight="true" outlineLevel="0" collapsed="false">
      <c r="B5" s="65" t="s">
        <v>324</v>
      </c>
      <c r="C5" s="65"/>
      <c r="D5" s="65"/>
      <c r="E5" s="65"/>
      <c r="F5" s="65"/>
      <c r="G5" s="65"/>
      <c r="H5" s="65"/>
      <c r="I5" s="65"/>
      <c r="J5" s="65"/>
      <c r="K5" s="65"/>
    </row>
    <row r="6" customFormat="false" ht="15" hidden="false" customHeight="true" outlineLevel="0" collapsed="false">
      <c r="B6" s="65" t="s">
        <v>325</v>
      </c>
      <c r="C6" s="65"/>
      <c r="D6" s="65"/>
      <c r="E6" s="65"/>
      <c r="F6" s="65"/>
      <c r="G6" s="65"/>
      <c r="H6" s="65"/>
      <c r="I6" s="65"/>
      <c r="J6" s="65"/>
      <c r="K6" s="65"/>
    </row>
    <row r="7" customFormat="false" ht="15" hidden="false" customHeight="true" outlineLevel="0" collapsed="false">
      <c r="B7" s="65" t="s">
        <v>326</v>
      </c>
      <c r="C7" s="65"/>
      <c r="D7" s="65"/>
      <c r="E7" s="65"/>
      <c r="F7" s="65"/>
      <c r="G7" s="65"/>
      <c r="H7" s="65"/>
      <c r="I7" s="65"/>
      <c r="J7" s="65"/>
      <c r="K7" s="65"/>
    </row>
    <row r="8" customFormat="false" ht="15" hidden="false" customHeight="true" outlineLevel="0" collapsed="false">
      <c r="B8" s="65" t="s">
        <v>327</v>
      </c>
      <c r="C8" s="65"/>
      <c r="D8" s="65"/>
      <c r="E8" s="65"/>
      <c r="F8" s="65"/>
      <c r="G8" s="65"/>
      <c r="H8" s="65"/>
      <c r="I8" s="65"/>
      <c r="J8" s="65"/>
      <c r="K8" s="65"/>
    </row>
    <row r="9" customFormat="false" ht="15" hidden="false" customHeight="true" outlineLevel="0" collapsed="false">
      <c r="B9" s="65" t="s">
        <v>328</v>
      </c>
      <c r="C9" s="65"/>
      <c r="D9" s="65"/>
      <c r="E9" s="65"/>
      <c r="F9" s="65"/>
      <c r="G9" s="65"/>
      <c r="H9" s="65"/>
      <c r="I9" s="65"/>
      <c r="J9" s="65"/>
      <c r="K9" s="65"/>
    </row>
    <row r="11" customFormat="false" ht="15" hidden="false" customHeight="false" outlineLevel="0" collapsed="false">
      <c r="C11" s="9" t="s">
        <v>329</v>
      </c>
      <c r="D11" s="10"/>
      <c r="E11" s="10"/>
      <c r="F11" s="10"/>
      <c r="G11" s="10"/>
      <c r="H11" s="10"/>
      <c r="I11" s="10"/>
      <c r="J11" s="11" t="n">
        <f aca="false">SUMIFS(J18:J60,G18:G60,"À acheter")</f>
        <v>1072.1</v>
      </c>
    </row>
    <row r="12" customFormat="false" ht="15" hidden="false" customHeight="false" outlineLevel="0" collapsed="false">
      <c r="C12" s="9" t="s">
        <v>39</v>
      </c>
      <c r="D12" s="10"/>
      <c r="E12" s="10"/>
      <c r="F12" s="10"/>
      <c r="G12" s="10"/>
      <c r="H12" s="10"/>
      <c r="I12" s="10"/>
      <c r="J12" s="11" t="n">
        <f aca="false">SUMIFS(J18:J60,G18:G60,"Option")</f>
        <v>170</v>
      </c>
    </row>
    <row r="13" customFormat="false" ht="15" hidden="false" customHeight="false" outlineLevel="0" collapsed="false">
      <c r="C13" s="9" t="s">
        <v>31</v>
      </c>
      <c r="D13" s="10"/>
      <c r="E13" s="10"/>
      <c r="F13" s="10"/>
      <c r="G13" s="10"/>
      <c r="H13" s="10"/>
      <c r="I13" s="10"/>
      <c r="J13" s="11" t="n">
        <f aca="false">SUMIFS(J18:J60,G18:G60,"Déjà possédé")</f>
        <v>15</v>
      </c>
    </row>
    <row r="14" customFormat="false" ht="15" hidden="false" customHeight="false" outlineLevel="0" collapsed="false">
      <c r="C14" s="9" t="s">
        <v>330</v>
      </c>
      <c r="D14" s="10"/>
      <c r="E14" s="10"/>
      <c r="F14" s="10"/>
      <c r="G14" s="10"/>
      <c r="H14" s="10"/>
      <c r="I14" s="10"/>
      <c r="J14" s="12" t="n">
        <f aca="false">SUMPRODUCT((G18:G60="À acheter")*(I18:I60=""))</f>
        <v>3</v>
      </c>
    </row>
    <row r="17" customFormat="false" ht="30" hidden="false" customHeight="true" outlineLevel="0" collapsed="false">
      <c r="A17" s="16" t="s">
        <v>40</v>
      </c>
      <c r="B17" s="16" t="s">
        <v>41</v>
      </c>
      <c r="C17" s="16" t="s">
        <v>42</v>
      </c>
      <c r="D17" s="16" t="s">
        <v>331</v>
      </c>
      <c r="E17" s="16" t="s">
        <v>332</v>
      </c>
      <c r="F17" s="16" t="s">
        <v>333</v>
      </c>
      <c r="G17" s="16" t="s">
        <v>43</v>
      </c>
      <c r="H17" s="16" t="s">
        <v>51</v>
      </c>
      <c r="I17" s="16" t="s">
        <v>283</v>
      </c>
      <c r="J17" s="16" t="s">
        <v>50</v>
      </c>
      <c r="K17" s="16" t="s">
        <v>334</v>
      </c>
      <c r="L17" s="16" t="s">
        <v>54</v>
      </c>
    </row>
    <row r="18" customFormat="false" ht="23.85" hidden="false" customHeight="false" outlineLevel="0" collapsed="false">
      <c r="A18" s="17" t="s">
        <v>55</v>
      </c>
      <c r="B18" s="18" t="s">
        <v>56</v>
      </c>
      <c r="C18" s="19" t="s">
        <v>57</v>
      </c>
      <c r="D18" s="19" t="s">
        <v>302</v>
      </c>
      <c r="E18" s="19" t="s">
        <v>335</v>
      </c>
      <c r="F18" s="22" t="n">
        <v>1</v>
      </c>
      <c r="G18" s="18" t="s">
        <v>58</v>
      </c>
      <c r="H18" s="20" t="str">
        <f aca="false">INDEX(Prix!$C$5:$C$79,MATCH($A18,Prix!$A$5:$A$79,0))</f>
        <v>JLCPCB</v>
      </c>
      <c r="I18" s="66" t="str">
        <f aca="false">IFERROR(INDEX(Prix!$G$5:$G$79,MATCH($A18,Prix!$A$5:$A$79,0)),"")</f>
        <v/>
      </c>
      <c r="J18" s="23" t="str">
        <f aca="false">IF(I18="","",F18*I18)</f>
        <v/>
      </c>
      <c r="K18" s="19"/>
      <c r="L18" s="24" t="s">
        <v>60</v>
      </c>
    </row>
    <row r="19" customFormat="false" ht="23.85" hidden="false" customHeight="false" outlineLevel="0" collapsed="false">
      <c r="A19" s="17" t="s">
        <v>61</v>
      </c>
      <c r="B19" s="18" t="s">
        <v>56</v>
      </c>
      <c r="C19" s="19" t="s">
        <v>62</v>
      </c>
      <c r="D19" s="19" t="s">
        <v>336</v>
      </c>
      <c r="E19" s="19" t="s">
        <v>337</v>
      </c>
      <c r="F19" s="22" t="n">
        <v>1</v>
      </c>
      <c r="G19" s="18" t="s">
        <v>58</v>
      </c>
      <c r="H19" s="20" t="str">
        <f aca="false">INDEX(Prix!$C$5:$C$79,MATCH($A19,Prix!$A$5:$A$79,0))</f>
        <v>Shop4Makers</v>
      </c>
      <c r="I19" s="66" t="n">
        <f aca="false">IFERROR(INDEX(Prix!$G$5:$G$79,MATCH($A19,Prix!$A$5:$A$79,0)),"")</f>
        <v>113</v>
      </c>
      <c r="J19" s="23" t="n">
        <f aca="false">IF(I19="","",F19*I19)</f>
        <v>113</v>
      </c>
      <c r="K19" s="19" t="s">
        <v>338</v>
      </c>
      <c r="L19" s="24" t="s">
        <v>60</v>
      </c>
    </row>
    <row r="20" customFormat="false" ht="15" hidden="false" customHeight="false" outlineLevel="0" collapsed="false">
      <c r="A20" s="25" t="s">
        <v>64</v>
      </c>
      <c r="B20" s="26" t="s">
        <v>65</v>
      </c>
      <c r="C20" s="27" t="s">
        <v>66</v>
      </c>
      <c r="D20" s="27" t="s">
        <v>339</v>
      </c>
      <c r="E20" s="27" t="s">
        <v>340</v>
      </c>
      <c r="F20" s="30" t="n">
        <v>2</v>
      </c>
      <c r="G20" s="26" t="s">
        <v>58</v>
      </c>
      <c r="H20" s="28" t="str">
        <f aca="false">INDEX(Prix!$C$5:$C$79,MATCH($A20,Prix!$A$5:$A$79,0))</f>
        <v>MicroPlanet</v>
      </c>
      <c r="I20" s="67" t="n">
        <f aca="false">IFERROR(INDEX(Prix!$G$5:$G$79,MATCH($A20,Prix!$A$5:$A$79,0)),"")</f>
        <v>0.3</v>
      </c>
      <c r="J20" s="31" t="n">
        <f aca="false">IF(I20="","",F20*I20)</f>
        <v>0.6</v>
      </c>
      <c r="K20" s="27"/>
      <c r="L20" s="32" t="s">
        <v>60</v>
      </c>
    </row>
    <row r="21" customFormat="false" ht="23.85" hidden="false" customHeight="false" outlineLevel="0" collapsed="false">
      <c r="A21" s="25" t="s">
        <v>68</v>
      </c>
      <c r="B21" s="26" t="s">
        <v>65</v>
      </c>
      <c r="C21" s="27" t="s">
        <v>69</v>
      </c>
      <c r="D21" s="27" t="s">
        <v>341</v>
      </c>
      <c r="E21" s="27" t="s">
        <v>342</v>
      </c>
      <c r="F21" s="30" t="n">
        <v>7</v>
      </c>
      <c r="G21" s="26" t="s">
        <v>58</v>
      </c>
      <c r="H21" s="28" t="str">
        <f aca="false">INDEX(Prix!$C$5:$C$79,MATCH($A21,Prix!$A$5:$A$79,0))</f>
        <v>MicroPlanet</v>
      </c>
      <c r="I21" s="67" t="n">
        <f aca="false">IFERROR(INDEX(Prix!$G$5:$G$79,MATCH($A21,Prix!$A$5:$A$79,0)),"")</f>
        <v>0.3</v>
      </c>
      <c r="J21" s="31" t="n">
        <f aca="false">IF(I21="","",F21*I21)</f>
        <v>2.1</v>
      </c>
      <c r="K21" s="27"/>
      <c r="L21" s="32" t="s">
        <v>60</v>
      </c>
    </row>
    <row r="22" customFormat="false" ht="23.85" hidden="false" customHeight="false" outlineLevel="0" collapsed="false">
      <c r="A22" s="25" t="s">
        <v>72</v>
      </c>
      <c r="B22" s="26" t="s">
        <v>65</v>
      </c>
      <c r="C22" s="27" t="s">
        <v>73</v>
      </c>
      <c r="D22" s="27" t="s">
        <v>343</v>
      </c>
      <c r="E22" s="27" t="s">
        <v>344</v>
      </c>
      <c r="F22" s="30" t="n">
        <v>3</v>
      </c>
      <c r="G22" s="26" t="s">
        <v>58</v>
      </c>
      <c r="H22" s="28" t="str">
        <f aca="false">INDEX(Prix!$C$5:$C$79,MATCH($A22,Prix!$A$5:$A$79,0))</f>
        <v>MicroPlanet</v>
      </c>
      <c r="I22" s="67" t="n">
        <f aca="false">IFERROR(INDEX(Prix!$G$5:$G$79,MATCH($A22,Prix!$A$5:$A$79,0)),"")</f>
        <v>0.3</v>
      </c>
      <c r="J22" s="31" t="n">
        <f aca="false">IF(I22="","",F22*I22)</f>
        <v>0.9</v>
      </c>
      <c r="K22" s="27"/>
      <c r="L22" s="32" t="s">
        <v>60</v>
      </c>
    </row>
    <row r="23" customFormat="false" ht="57.45" hidden="false" customHeight="false" outlineLevel="0" collapsed="false">
      <c r="A23" s="25" t="s">
        <v>74</v>
      </c>
      <c r="B23" s="26" t="s">
        <v>65</v>
      </c>
      <c r="C23" s="27" t="s">
        <v>75</v>
      </c>
      <c r="D23" s="27" t="s">
        <v>345</v>
      </c>
      <c r="E23" s="27" t="s">
        <v>346</v>
      </c>
      <c r="F23" s="30" t="n">
        <v>7</v>
      </c>
      <c r="G23" s="26" t="s">
        <v>58</v>
      </c>
      <c r="H23" s="28" t="str">
        <f aca="false">INDEX(Prix!$C$5:$C$79,MATCH($A23,Prix!$A$5:$A$79,0))</f>
        <v>MicroPlanet</v>
      </c>
      <c r="I23" s="67" t="n">
        <f aca="false">IFERROR(INDEX(Prix!$G$5:$G$79,MATCH($A23,Prix!$A$5:$A$79,0)),"")</f>
        <v>0.3</v>
      </c>
      <c r="J23" s="31" t="n">
        <f aca="false">IF(I23="","",F23*I23)</f>
        <v>2.1</v>
      </c>
      <c r="K23" s="27"/>
      <c r="L23" s="32" t="s">
        <v>60</v>
      </c>
    </row>
    <row r="24" customFormat="false" ht="15" hidden="false" customHeight="false" outlineLevel="0" collapsed="false">
      <c r="A24" s="25" t="s">
        <v>76</v>
      </c>
      <c r="B24" s="26" t="s">
        <v>65</v>
      </c>
      <c r="C24" s="27" t="s">
        <v>77</v>
      </c>
      <c r="D24" s="27" t="s">
        <v>347</v>
      </c>
      <c r="E24" s="27" t="s">
        <v>348</v>
      </c>
      <c r="F24" s="30" t="n">
        <v>1</v>
      </c>
      <c r="G24" s="26" t="s">
        <v>58</v>
      </c>
      <c r="H24" s="28" t="str">
        <f aca="false">INDEX(Prix!$C$5:$C$79,MATCH($A24,Prix!$A$5:$A$79,0))</f>
        <v>MicroPlanet</v>
      </c>
      <c r="I24" s="67" t="n">
        <f aca="false">IFERROR(INDEX(Prix!$G$5:$G$79,MATCH($A24,Prix!$A$5:$A$79,0)),"")</f>
        <v>0.3</v>
      </c>
      <c r="J24" s="31" t="n">
        <f aca="false">IF(I24="","",F24*I24)</f>
        <v>0.3</v>
      </c>
      <c r="K24" s="27"/>
      <c r="L24" s="32" t="s">
        <v>60</v>
      </c>
    </row>
    <row r="25" customFormat="false" ht="35.05" hidden="false" customHeight="false" outlineLevel="0" collapsed="false">
      <c r="A25" s="25" t="s">
        <v>78</v>
      </c>
      <c r="B25" s="26" t="s">
        <v>65</v>
      </c>
      <c r="C25" s="27" t="s">
        <v>79</v>
      </c>
      <c r="D25" s="27" t="s">
        <v>349</v>
      </c>
      <c r="E25" s="27" t="s">
        <v>350</v>
      </c>
      <c r="F25" s="30" t="n">
        <v>4</v>
      </c>
      <c r="G25" s="26" t="s">
        <v>58</v>
      </c>
      <c r="H25" s="28" t="str">
        <f aca="false">INDEX(Prix!$C$5:$C$79,MATCH($A25,Prix!$A$5:$A$79,0))</f>
        <v>MicroPlanet</v>
      </c>
      <c r="I25" s="67" t="n">
        <f aca="false">IFERROR(INDEX(Prix!$G$5:$G$79,MATCH($A25,Prix!$A$5:$A$79,0)),"")</f>
        <v>0.3</v>
      </c>
      <c r="J25" s="31" t="n">
        <f aca="false">IF(I25="","",F25*I25)</f>
        <v>1.2</v>
      </c>
      <c r="K25" s="27"/>
      <c r="L25" s="32" t="s">
        <v>60</v>
      </c>
    </row>
    <row r="26" customFormat="false" ht="23.85" hidden="false" customHeight="false" outlineLevel="0" collapsed="false">
      <c r="A26" s="17" t="s">
        <v>80</v>
      </c>
      <c r="B26" s="18" t="s">
        <v>81</v>
      </c>
      <c r="C26" s="19" t="s">
        <v>82</v>
      </c>
      <c r="D26" s="19" t="s">
        <v>351</v>
      </c>
      <c r="E26" s="19" t="s">
        <v>352</v>
      </c>
      <c r="F26" s="22" t="n">
        <v>8</v>
      </c>
      <c r="G26" s="18" t="s">
        <v>58</v>
      </c>
      <c r="H26" s="20" t="str">
        <f aca="false">INDEX(Prix!$C$5:$C$79,MATCH($A26,Prix!$A$5:$A$79,0))</f>
        <v>A2itronic</v>
      </c>
      <c r="I26" s="66" t="n">
        <f aca="false">IFERROR(INDEX(Prix!$G$5:$G$79,MATCH($A26,Prix!$A$5:$A$79,0)),"")</f>
        <v>0.5</v>
      </c>
      <c r="J26" s="23" t="n">
        <f aca="false">IF(I26="","",F26*I26)</f>
        <v>4</v>
      </c>
      <c r="K26" s="19"/>
      <c r="L26" s="24" t="s">
        <v>60</v>
      </c>
    </row>
    <row r="27" customFormat="false" ht="15" hidden="false" customHeight="false" outlineLevel="0" collapsed="false">
      <c r="A27" s="17" t="s">
        <v>84</v>
      </c>
      <c r="B27" s="18" t="s">
        <v>81</v>
      </c>
      <c r="C27" s="19" t="s">
        <v>85</v>
      </c>
      <c r="D27" s="19" t="s">
        <v>353</v>
      </c>
      <c r="E27" s="19" t="s">
        <v>354</v>
      </c>
      <c r="F27" s="22" t="n">
        <v>1</v>
      </c>
      <c r="G27" s="18" t="s">
        <v>58</v>
      </c>
      <c r="H27" s="20" t="str">
        <f aca="false">INDEX(Prix!$C$5:$C$79,MATCH($A27,Prix!$A$5:$A$79,0))</f>
        <v>A2itronic</v>
      </c>
      <c r="I27" s="66" t="n">
        <f aca="false">IFERROR(INDEX(Prix!$G$5:$G$79,MATCH($A27,Prix!$A$5:$A$79,0)),"")</f>
        <v>1</v>
      </c>
      <c r="J27" s="23" t="n">
        <f aca="false">IF(I27="","",F27*I27)</f>
        <v>1</v>
      </c>
      <c r="K27" s="19"/>
      <c r="L27" s="24" t="s">
        <v>60</v>
      </c>
    </row>
    <row r="28" customFormat="false" ht="15" hidden="false" customHeight="false" outlineLevel="0" collapsed="false">
      <c r="A28" s="17" t="s">
        <v>87</v>
      </c>
      <c r="B28" s="18" t="s">
        <v>81</v>
      </c>
      <c r="C28" s="19" t="s">
        <v>88</v>
      </c>
      <c r="D28" s="19" t="s">
        <v>355</v>
      </c>
      <c r="E28" s="19" t="s">
        <v>356</v>
      </c>
      <c r="F28" s="22" t="n">
        <v>1</v>
      </c>
      <c r="G28" s="18" t="s">
        <v>58</v>
      </c>
      <c r="H28" s="20" t="str">
        <f aca="false">INDEX(Prix!$C$5:$C$79,MATCH($A28,Prix!$A$5:$A$79,0))</f>
        <v>A2itronic</v>
      </c>
      <c r="I28" s="66" t="n">
        <f aca="false">IFERROR(INDEX(Prix!$G$5:$G$79,MATCH($A28,Prix!$A$5:$A$79,0)),"")</f>
        <v>1</v>
      </c>
      <c r="J28" s="23" t="n">
        <f aca="false">IF(I28="","",F28*I28)</f>
        <v>1</v>
      </c>
      <c r="K28" s="19"/>
      <c r="L28" s="24" t="s">
        <v>60</v>
      </c>
    </row>
    <row r="29" customFormat="false" ht="23.85" hidden="false" customHeight="false" outlineLevel="0" collapsed="false">
      <c r="A29" s="17" t="s">
        <v>90</v>
      </c>
      <c r="B29" s="18" t="s">
        <v>81</v>
      </c>
      <c r="C29" s="19" t="s">
        <v>91</v>
      </c>
      <c r="D29" s="19" t="s">
        <v>357</v>
      </c>
      <c r="E29" s="19" t="s">
        <v>358</v>
      </c>
      <c r="F29" s="22" t="n">
        <v>1</v>
      </c>
      <c r="G29" s="18" t="s">
        <v>58</v>
      </c>
      <c r="H29" s="20" t="str">
        <f aca="false">INDEX(Prix!$C$5:$C$79,MATCH($A29,Prix!$A$5:$A$79,0))</f>
        <v>A2itronic</v>
      </c>
      <c r="I29" s="66" t="n">
        <f aca="false">IFERROR(INDEX(Prix!$G$5:$G$79,MATCH($A29,Prix!$A$5:$A$79,0)),"")</f>
        <v>2</v>
      </c>
      <c r="J29" s="23" t="n">
        <f aca="false">IF(I29="","",F29*I29)</f>
        <v>2</v>
      </c>
      <c r="K29" s="19"/>
      <c r="L29" s="24" t="s">
        <v>60</v>
      </c>
    </row>
    <row r="30" customFormat="false" ht="23.85" hidden="false" customHeight="false" outlineLevel="0" collapsed="false">
      <c r="A30" s="17" t="s">
        <v>96</v>
      </c>
      <c r="B30" s="18" t="s">
        <v>81</v>
      </c>
      <c r="C30" s="19" t="s">
        <v>97</v>
      </c>
      <c r="D30" s="19" t="s">
        <v>359</v>
      </c>
      <c r="E30" s="19" t="s">
        <v>360</v>
      </c>
      <c r="F30" s="22" t="n">
        <v>1</v>
      </c>
      <c r="G30" s="18" t="s">
        <v>58</v>
      </c>
      <c r="H30" s="20" t="str">
        <f aca="false">INDEX(Prix!$C$5:$C$79,MATCH($A30,Prix!$A$5:$A$79,0))</f>
        <v>A2itronic</v>
      </c>
      <c r="I30" s="66" t="n">
        <f aca="false">IFERROR(INDEX(Prix!$G$5:$G$79,MATCH($A30,Prix!$A$5:$A$79,0)),"")</f>
        <v>3</v>
      </c>
      <c r="J30" s="23" t="n">
        <f aca="false">IF(I30="","",F30*I30)</f>
        <v>3</v>
      </c>
      <c r="K30" s="19"/>
      <c r="L30" s="24" t="s">
        <v>60</v>
      </c>
    </row>
    <row r="31" customFormat="false" ht="23.85" hidden="false" customHeight="false" outlineLevel="0" collapsed="false">
      <c r="A31" s="25" t="s">
        <v>102</v>
      </c>
      <c r="B31" s="26" t="s">
        <v>100</v>
      </c>
      <c r="C31" s="27" t="s">
        <v>103</v>
      </c>
      <c r="D31" s="27" t="s">
        <v>361</v>
      </c>
      <c r="E31" s="27" t="s">
        <v>362</v>
      </c>
      <c r="F31" s="30" t="n">
        <v>1</v>
      </c>
      <c r="G31" s="26" t="s">
        <v>58</v>
      </c>
      <c r="H31" s="28" t="str">
        <f aca="false">INDEX(Prix!$C$5:$C$79,MATCH($A31,Prix!$A$5:$A$79,0))</f>
        <v>Moussasoft</v>
      </c>
      <c r="I31" s="67" t="n">
        <f aca="false">IFERROR(INDEX(Prix!$G$5:$G$79,MATCH($A31,Prix!$A$5:$A$79,0)),"")</f>
        <v>2</v>
      </c>
      <c r="J31" s="31" t="n">
        <f aca="false">IF(I31="","",F31*I31)</f>
        <v>2</v>
      </c>
      <c r="K31" s="27"/>
      <c r="L31" s="32" t="s">
        <v>60</v>
      </c>
    </row>
    <row r="32" customFormat="false" ht="23.85" hidden="false" customHeight="false" outlineLevel="0" collapsed="false">
      <c r="A32" s="33" t="s">
        <v>105</v>
      </c>
      <c r="B32" s="34" t="s">
        <v>100</v>
      </c>
      <c r="C32" s="35" t="s">
        <v>106</v>
      </c>
      <c r="D32" s="35" t="s">
        <v>363</v>
      </c>
      <c r="E32" s="35" t="s">
        <v>364</v>
      </c>
      <c r="F32" s="38" t="n">
        <v>1</v>
      </c>
      <c r="G32" s="34" t="s">
        <v>58</v>
      </c>
      <c r="H32" s="36" t="str">
        <f aca="false">INDEX(Prix!$C$5:$C$79,MATCH($A32,Prix!$A$5:$A$79,0))</f>
        <v>LCSC</v>
      </c>
      <c r="I32" s="68" t="str">
        <f aca="false">IFERROR(INDEX(Prix!$G$5:$G$79,MATCH($A32,Prix!$A$5:$A$79,0)),"")</f>
        <v/>
      </c>
      <c r="J32" s="39" t="str">
        <f aca="false">IF(I32="","",F32*I32)</f>
        <v/>
      </c>
      <c r="K32" s="35" t="s">
        <v>365</v>
      </c>
      <c r="L32" s="40" t="s">
        <v>60</v>
      </c>
    </row>
    <row r="33" customFormat="false" ht="15" hidden="false" customHeight="false" outlineLevel="0" collapsed="false">
      <c r="A33" s="25" t="s">
        <v>114</v>
      </c>
      <c r="B33" s="26" t="s">
        <v>100</v>
      </c>
      <c r="C33" s="27" t="s">
        <v>115</v>
      </c>
      <c r="D33" s="27" t="s">
        <v>366</v>
      </c>
      <c r="E33" s="27" t="s">
        <v>367</v>
      </c>
      <c r="F33" s="30" t="n">
        <v>1</v>
      </c>
      <c r="G33" s="26" t="s">
        <v>58</v>
      </c>
      <c r="H33" s="28" t="str">
        <f aca="false">INDEX(Prix!$C$5:$C$79,MATCH($A33,Prix!$A$5:$A$79,0))</f>
        <v>A2itronic</v>
      </c>
      <c r="I33" s="67" t="n">
        <f aca="false">IFERROR(INDEX(Prix!$G$5:$G$79,MATCH($A33,Prix!$A$5:$A$79,0)),"")</f>
        <v>1</v>
      </c>
      <c r="J33" s="31" t="n">
        <f aca="false">IF(I33="","",F33*I33)</f>
        <v>1</v>
      </c>
      <c r="K33" s="27" t="s">
        <v>368</v>
      </c>
      <c r="L33" s="32" t="s">
        <v>60</v>
      </c>
    </row>
    <row r="34" customFormat="false" ht="35.05" hidden="false" customHeight="false" outlineLevel="0" collapsed="false">
      <c r="A34" s="25" t="s">
        <v>117</v>
      </c>
      <c r="B34" s="26" t="s">
        <v>100</v>
      </c>
      <c r="C34" s="27" t="s">
        <v>118</v>
      </c>
      <c r="D34" s="27" t="s">
        <v>369</v>
      </c>
      <c r="E34" s="27" t="s">
        <v>370</v>
      </c>
      <c r="F34" s="30" t="n">
        <v>2</v>
      </c>
      <c r="G34" s="26" t="s">
        <v>58</v>
      </c>
      <c r="H34" s="28" t="str">
        <f aca="false">INDEX(Prix!$C$5:$C$79,MATCH($A34,Prix!$A$5:$A$79,0))</f>
        <v>A2itronic</v>
      </c>
      <c r="I34" s="67" t="n">
        <f aca="false">IFERROR(INDEX(Prix!$G$5:$G$79,MATCH($A34,Prix!$A$5:$A$79,0)),"")</f>
        <v>10</v>
      </c>
      <c r="J34" s="31" t="n">
        <f aca="false">IF(I34="","",F34*I34)</f>
        <v>20</v>
      </c>
      <c r="K34" s="27" t="s">
        <v>371</v>
      </c>
      <c r="L34" s="32" t="s">
        <v>60</v>
      </c>
    </row>
    <row r="35" customFormat="false" ht="23.85" hidden="false" customHeight="false" outlineLevel="0" collapsed="false">
      <c r="A35" s="25" t="s">
        <v>120</v>
      </c>
      <c r="B35" s="26" t="s">
        <v>100</v>
      </c>
      <c r="C35" s="27" t="s">
        <v>121</v>
      </c>
      <c r="D35" s="27" t="s">
        <v>372</v>
      </c>
      <c r="E35" s="27" t="s">
        <v>373</v>
      </c>
      <c r="F35" s="30" t="n">
        <v>1</v>
      </c>
      <c r="G35" s="26" t="s">
        <v>58</v>
      </c>
      <c r="H35" s="28" t="str">
        <f aca="false">INDEX(Prix!$C$5:$C$79,MATCH($A35,Prix!$A$5:$A$79,0))</f>
        <v>Megma</v>
      </c>
      <c r="I35" s="67" t="n">
        <f aca="false">IFERROR(INDEX(Prix!$G$5:$G$79,MATCH($A35,Prix!$A$5:$A$79,0)),"")</f>
        <v>7.5</v>
      </c>
      <c r="J35" s="31" t="n">
        <f aca="false">IF(I35="","",F35*I35)</f>
        <v>7.5</v>
      </c>
      <c r="K35" s="27" t="s">
        <v>374</v>
      </c>
      <c r="L35" s="32" t="s">
        <v>60</v>
      </c>
    </row>
    <row r="36" customFormat="false" ht="35.05" hidden="false" customHeight="false" outlineLevel="0" collapsed="false">
      <c r="A36" s="17" t="s">
        <v>143</v>
      </c>
      <c r="B36" s="18" t="s">
        <v>144</v>
      </c>
      <c r="C36" s="19" t="s">
        <v>145</v>
      </c>
      <c r="D36" s="19" t="s">
        <v>375</v>
      </c>
      <c r="E36" s="19" t="s">
        <v>376</v>
      </c>
      <c r="F36" s="22" t="n">
        <v>5</v>
      </c>
      <c r="G36" s="18" t="s">
        <v>58</v>
      </c>
      <c r="H36" s="20" t="str">
        <f aca="false">INDEX(Prix!$C$5:$C$79,MATCH($A36,Prix!$A$5:$A$79,0))</f>
        <v>MicroPlanet</v>
      </c>
      <c r="I36" s="66" t="n">
        <f aca="false">IFERROR(INDEX(Prix!$G$5:$G$79,MATCH($A36,Prix!$A$5:$A$79,0)),"")</f>
        <v>2</v>
      </c>
      <c r="J36" s="23" t="n">
        <f aca="false">IF(I36="","",F36*I36)</f>
        <v>10</v>
      </c>
      <c r="K36" s="19" t="s">
        <v>377</v>
      </c>
      <c r="L36" s="24" t="s">
        <v>60</v>
      </c>
    </row>
    <row r="37" customFormat="false" ht="23.85" hidden="false" customHeight="false" outlineLevel="0" collapsed="false">
      <c r="A37" s="17" t="s">
        <v>147</v>
      </c>
      <c r="B37" s="18" t="s">
        <v>144</v>
      </c>
      <c r="C37" s="19" t="s">
        <v>148</v>
      </c>
      <c r="D37" s="19" t="s">
        <v>378</v>
      </c>
      <c r="E37" s="19" t="s">
        <v>379</v>
      </c>
      <c r="F37" s="22" t="n">
        <v>8</v>
      </c>
      <c r="G37" s="18" t="s">
        <v>58</v>
      </c>
      <c r="H37" s="20" t="str">
        <f aca="false">INDEX(Prix!$C$5:$C$79,MATCH($A37,Prix!$A$5:$A$79,0))</f>
        <v>MicroPlanet</v>
      </c>
      <c r="I37" s="66" t="n">
        <f aca="false">IFERROR(INDEX(Prix!$G$5:$G$79,MATCH($A37,Prix!$A$5:$A$79,0)),"")</f>
        <v>3</v>
      </c>
      <c r="J37" s="23" t="n">
        <f aca="false">IF(I37="","",F37*I37)</f>
        <v>24</v>
      </c>
      <c r="K37" s="19"/>
      <c r="L37" s="24" t="s">
        <v>60</v>
      </c>
    </row>
    <row r="38" customFormat="false" ht="23.85" hidden="false" customHeight="false" outlineLevel="0" collapsed="false">
      <c r="A38" s="17" t="s">
        <v>153</v>
      </c>
      <c r="B38" s="18" t="s">
        <v>144</v>
      </c>
      <c r="C38" s="19" t="s">
        <v>154</v>
      </c>
      <c r="D38" s="19" t="s">
        <v>380</v>
      </c>
      <c r="E38" s="19" t="s">
        <v>381</v>
      </c>
      <c r="F38" s="22" t="n">
        <v>2</v>
      </c>
      <c r="G38" s="18" t="s">
        <v>58</v>
      </c>
      <c r="H38" s="20" t="str">
        <f aca="false">INDEX(Prix!$C$5:$C$79,MATCH($A38,Prix!$A$5:$A$79,0))</f>
        <v>Moussasoft</v>
      </c>
      <c r="I38" s="66" t="n">
        <f aca="false">IFERROR(INDEX(Prix!$G$5:$G$79,MATCH($A38,Prix!$A$5:$A$79,0)),"")</f>
        <v>5</v>
      </c>
      <c r="J38" s="23" t="n">
        <f aca="false">IF(I38="","",F38*I38)</f>
        <v>10</v>
      </c>
      <c r="K38" s="19" t="s">
        <v>382</v>
      </c>
      <c r="L38" s="24" t="s">
        <v>60</v>
      </c>
    </row>
    <row r="39" customFormat="false" ht="46.25" hidden="false" customHeight="false" outlineLevel="0" collapsed="false">
      <c r="A39" s="17" t="s">
        <v>156</v>
      </c>
      <c r="B39" s="18" t="s">
        <v>144</v>
      </c>
      <c r="C39" s="19" t="s">
        <v>157</v>
      </c>
      <c r="D39" s="19" t="s">
        <v>383</v>
      </c>
      <c r="E39" s="19" t="s">
        <v>384</v>
      </c>
      <c r="F39" s="22" t="n">
        <v>2</v>
      </c>
      <c r="G39" s="18" t="s">
        <v>58</v>
      </c>
      <c r="H39" s="20" t="str">
        <f aca="false">INDEX(Prix!$C$5:$C$79,MATCH($A39,Prix!$A$5:$A$79,0))</f>
        <v>Moussasoft</v>
      </c>
      <c r="I39" s="66" t="n">
        <f aca="false">IFERROR(INDEX(Prix!$G$5:$G$79,MATCH($A39,Prix!$A$5:$A$79,0)),"")</f>
        <v>4</v>
      </c>
      <c r="J39" s="23" t="n">
        <f aca="false">IF(I39="","",F39*I39)</f>
        <v>8</v>
      </c>
      <c r="K39" s="19" t="s">
        <v>385</v>
      </c>
      <c r="L39" s="24" t="s">
        <v>60</v>
      </c>
    </row>
    <row r="40" customFormat="false" ht="23.85" hidden="false" customHeight="false" outlineLevel="0" collapsed="false">
      <c r="A40" s="17" t="s">
        <v>158</v>
      </c>
      <c r="B40" s="18" t="s">
        <v>144</v>
      </c>
      <c r="C40" s="19" t="s">
        <v>159</v>
      </c>
      <c r="D40" s="19" t="s">
        <v>386</v>
      </c>
      <c r="E40" s="19" t="s">
        <v>387</v>
      </c>
      <c r="F40" s="22" t="n">
        <v>9</v>
      </c>
      <c r="G40" s="18" t="s">
        <v>58</v>
      </c>
      <c r="H40" s="20" t="str">
        <f aca="false">INDEX(Prix!$C$5:$C$79,MATCH($A40,Prix!$A$5:$A$79,0))</f>
        <v>Shop4Makers</v>
      </c>
      <c r="I40" s="66" t="n">
        <f aca="false">IFERROR(INDEX(Prix!$G$5:$G$79,MATCH($A40,Prix!$A$5:$A$79,0)),"")</f>
        <v>0.5</v>
      </c>
      <c r="J40" s="23" t="n">
        <f aca="false">IF(I40="","",F40*I40)</f>
        <v>4.5</v>
      </c>
      <c r="K40" s="19" t="s">
        <v>388</v>
      </c>
      <c r="L40" s="24" t="s">
        <v>60</v>
      </c>
    </row>
    <row r="41" customFormat="false" ht="23.85" hidden="false" customHeight="false" outlineLevel="0" collapsed="false">
      <c r="A41" s="17" t="s">
        <v>164</v>
      </c>
      <c r="B41" s="18" t="s">
        <v>144</v>
      </c>
      <c r="C41" s="19" t="s">
        <v>165</v>
      </c>
      <c r="D41" s="19" t="s">
        <v>389</v>
      </c>
      <c r="E41" s="19" t="s">
        <v>390</v>
      </c>
      <c r="F41" s="22" t="n">
        <v>1</v>
      </c>
      <c r="G41" s="18" t="s">
        <v>58</v>
      </c>
      <c r="H41" s="20" t="str">
        <f aca="false">INDEX(Prix!$C$5:$C$79,MATCH($A41,Prix!$A$5:$A$79,0))</f>
        <v>—</v>
      </c>
      <c r="I41" s="66" t="n">
        <f aca="false">IFERROR(INDEX(Prix!$G$5:$G$79,MATCH($A41,Prix!$A$5:$A$79,0)),"")</f>
        <v>0</v>
      </c>
      <c r="J41" s="23" t="n">
        <f aca="false">IF(I41="","",F41*I41)</f>
        <v>0</v>
      </c>
      <c r="K41" s="69" t="s">
        <v>391</v>
      </c>
      <c r="L41" s="18"/>
    </row>
    <row r="42" customFormat="false" ht="23.85" hidden="false" customHeight="false" outlineLevel="0" collapsed="false">
      <c r="A42" s="17" t="s">
        <v>167</v>
      </c>
      <c r="B42" s="18" t="s">
        <v>144</v>
      </c>
      <c r="C42" s="19" t="s">
        <v>168</v>
      </c>
      <c r="D42" s="19" t="s">
        <v>392</v>
      </c>
      <c r="E42" s="19" t="s">
        <v>393</v>
      </c>
      <c r="F42" s="22" t="n">
        <v>4</v>
      </c>
      <c r="G42" s="18" t="s">
        <v>58</v>
      </c>
      <c r="H42" s="20" t="str">
        <f aca="false">INDEX(Prix!$C$5:$C$79,MATCH($A42,Prix!$A$5:$A$79,0))</f>
        <v>—</v>
      </c>
      <c r="I42" s="66" t="n">
        <f aca="false">IFERROR(INDEX(Prix!$G$5:$G$79,MATCH($A42,Prix!$A$5:$A$79,0)),"")</f>
        <v>0</v>
      </c>
      <c r="J42" s="23" t="n">
        <f aca="false">IF(I42="","",F42*I42)</f>
        <v>0</v>
      </c>
      <c r="K42" s="19"/>
      <c r="L42" s="18"/>
    </row>
    <row r="43" customFormat="false" ht="23.85" hidden="false" customHeight="false" outlineLevel="0" collapsed="false">
      <c r="A43" s="25" t="s">
        <v>170</v>
      </c>
      <c r="B43" s="26" t="s">
        <v>171</v>
      </c>
      <c r="C43" s="27" t="s">
        <v>172</v>
      </c>
      <c r="D43" s="27" t="s">
        <v>394</v>
      </c>
      <c r="E43" s="27" t="s">
        <v>395</v>
      </c>
      <c r="F43" s="30" t="n">
        <v>2</v>
      </c>
      <c r="G43" s="26" t="s">
        <v>58</v>
      </c>
      <c r="H43" s="28" t="str">
        <f aca="false">INDEX(Prix!$C$5:$C$79,MATCH($A43,Prix!$A$5:$A$79,0))</f>
        <v>Shop4Makers</v>
      </c>
      <c r="I43" s="67" t="n">
        <f aca="false">IFERROR(INDEX(Prix!$G$5:$G$79,MATCH($A43,Prix!$A$5:$A$79,0)),"")</f>
        <v>16.2</v>
      </c>
      <c r="J43" s="31" t="n">
        <f aca="false">IF(I43="","",F43*I43)</f>
        <v>32.4</v>
      </c>
      <c r="K43" s="27" t="s">
        <v>396</v>
      </c>
      <c r="L43" s="32" t="s">
        <v>60</v>
      </c>
    </row>
    <row r="44" customFormat="false" ht="23.85" hidden="false" customHeight="false" outlineLevel="0" collapsed="false">
      <c r="A44" s="41" t="s">
        <v>174</v>
      </c>
      <c r="B44" s="42" t="s">
        <v>171</v>
      </c>
      <c r="C44" s="43" t="s">
        <v>175</v>
      </c>
      <c r="D44" s="43" t="s">
        <v>394</v>
      </c>
      <c r="E44" s="43" t="s">
        <v>397</v>
      </c>
      <c r="F44" s="46" t="n">
        <v>2</v>
      </c>
      <c r="G44" s="42" t="s">
        <v>176</v>
      </c>
      <c r="H44" s="44" t="str">
        <f aca="false">INDEX(Prix!$C$5:$C$79,MATCH($A44,Prix!$A$5:$A$79,0))</f>
        <v>Shop4Makers</v>
      </c>
      <c r="I44" s="70" t="n">
        <f aca="false">IFERROR(INDEX(Prix!$G$5:$G$79,MATCH($A44,Prix!$A$5:$A$79,0)),"")</f>
        <v>85</v>
      </c>
      <c r="J44" s="47" t="n">
        <f aca="false">IF(I44="","",F44*I44)</f>
        <v>170</v>
      </c>
      <c r="K44" s="43" t="s">
        <v>398</v>
      </c>
      <c r="L44" s="48" t="s">
        <v>60</v>
      </c>
    </row>
    <row r="45" customFormat="false" ht="23.85" hidden="false" customHeight="false" outlineLevel="0" collapsed="false">
      <c r="A45" s="25" t="s">
        <v>178</v>
      </c>
      <c r="B45" s="26" t="s">
        <v>171</v>
      </c>
      <c r="C45" s="27" t="s">
        <v>179</v>
      </c>
      <c r="D45" s="27" t="s">
        <v>394</v>
      </c>
      <c r="E45" s="27" t="s">
        <v>399</v>
      </c>
      <c r="F45" s="30" t="n">
        <v>1</v>
      </c>
      <c r="G45" s="26" t="s">
        <v>58</v>
      </c>
      <c r="H45" s="28" t="str">
        <f aca="false">INDEX(Prix!$C$5:$C$79,MATCH($A45,Prix!$A$5:$A$79,0))</f>
        <v>A2itronic</v>
      </c>
      <c r="I45" s="67" t="n">
        <f aca="false">IFERROR(INDEX(Prix!$G$5:$G$79,MATCH($A45,Prix!$A$5:$A$79,0)),"")</f>
        <v>50</v>
      </c>
      <c r="J45" s="31" t="n">
        <f aca="false">IF(I45="","",F45*I45)</f>
        <v>50</v>
      </c>
      <c r="K45" s="27" t="s">
        <v>400</v>
      </c>
      <c r="L45" s="32" t="s">
        <v>60</v>
      </c>
    </row>
    <row r="46" customFormat="false" ht="23.85" hidden="false" customHeight="false" outlineLevel="0" collapsed="false">
      <c r="A46" s="25" t="s">
        <v>181</v>
      </c>
      <c r="B46" s="26" t="s">
        <v>171</v>
      </c>
      <c r="C46" s="27" t="s">
        <v>182</v>
      </c>
      <c r="D46" s="27" t="s">
        <v>394</v>
      </c>
      <c r="E46" s="27" t="s">
        <v>401</v>
      </c>
      <c r="F46" s="30" t="n">
        <v>4</v>
      </c>
      <c r="G46" s="26" t="s">
        <v>58</v>
      </c>
      <c r="H46" s="28" t="str">
        <f aca="false">INDEX(Prix!$C$5:$C$79,MATCH($A46,Prix!$A$5:$A$79,0))</f>
        <v>Moussasoft</v>
      </c>
      <c r="I46" s="67" t="n">
        <f aca="false">IFERROR(INDEX(Prix!$G$5:$G$79,MATCH($A46,Prix!$A$5:$A$79,0)),"")</f>
        <v>2</v>
      </c>
      <c r="J46" s="31" t="n">
        <f aca="false">IF(I46="","",F46*I46)</f>
        <v>8</v>
      </c>
      <c r="K46" s="27" t="s">
        <v>402</v>
      </c>
      <c r="L46" s="32" t="s">
        <v>60</v>
      </c>
    </row>
    <row r="47" customFormat="false" ht="23.85" hidden="false" customHeight="false" outlineLevel="0" collapsed="false">
      <c r="A47" s="25" t="s">
        <v>184</v>
      </c>
      <c r="B47" s="26" t="s">
        <v>171</v>
      </c>
      <c r="C47" s="27" t="s">
        <v>185</v>
      </c>
      <c r="D47" s="27" t="s">
        <v>394</v>
      </c>
      <c r="E47" s="27" t="s">
        <v>403</v>
      </c>
      <c r="F47" s="30" t="n">
        <v>1</v>
      </c>
      <c r="G47" s="26" t="s">
        <v>58</v>
      </c>
      <c r="H47" s="28" t="str">
        <f aca="false">INDEX(Prix!$C$5:$C$79,MATCH($A47,Prix!$A$5:$A$79,0))</f>
        <v>Moussasoft</v>
      </c>
      <c r="I47" s="67" t="n">
        <f aca="false">IFERROR(INDEX(Prix!$G$5:$G$79,MATCH($A47,Prix!$A$5:$A$79,0)),"")</f>
        <v>25</v>
      </c>
      <c r="J47" s="31" t="n">
        <f aca="false">IF(I47="","",F47*I47)</f>
        <v>25</v>
      </c>
      <c r="K47" s="27" t="s">
        <v>404</v>
      </c>
      <c r="L47" s="32" t="s">
        <v>60</v>
      </c>
    </row>
    <row r="48" customFormat="false" ht="23.85" hidden="false" customHeight="false" outlineLevel="0" collapsed="false">
      <c r="A48" s="25" t="s">
        <v>187</v>
      </c>
      <c r="B48" s="26" t="s">
        <v>171</v>
      </c>
      <c r="C48" s="27" t="s">
        <v>188</v>
      </c>
      <c r="D48" s="27" t="s">
        <v>394</v>
      </c>
      <c r="E48" s="27" t="s">
        <v>405</v>
      </c>
      <c r="F48" s="30" t="n">
        <v>1</v>
      </c>
      <c r="G48" s="26" t="s">
        <v>58</v>
      </c>
      <c r="H48" s="28" t="str">
        <f aca="false">INDEX(Prix!$C$5:$C$79,MATCH($A48,Prix!$A$5:$A$79,0))</f>
        <v>Shop4Makers</v>
      </c>
      <c r="I48" s="67" t="n">
        <f aca="false">IFERROR(INDEX(Prix!$G$5:$G$79,MATCH($A48,Prix!$A$5:$A$79,0)),"")</f>
        <v>35</v>
      </c>
      <c r="J48" s="31" t="n">
        <f aca="false">IF(I48="","",F48*I48)</f>
        <v>35</v>
      </c>
      <c r="K48" s="27" t="s">
        <v>406</v>
      </c>
      <c r="L48" s="32" t="s">
        <v>60</v>
      </c>
    </row>
    <row r="49" customFormat="false" ht="23.85" hidden="false" customHeight="false" outlineLevel="0" collapsed="false">
      <c r="A49" s="25" t="s">
        <v>192</v>
      </c>
      <c r="B49" s="26" t="s">
        <v>171</v>
      </c>
      <c r="C49" s="27" t="s">
        <v>193</v>
      </c>
      <c r="D49" s="27" t="s">
        <v>394</v>
      </c>
      <c r="E49" s="27" t="s">
        <v>407</v>
      </c>
      <c r="F49" s="30" t="n">
        <v>2</v>
      </c>
      <c r="G49" s="26" t="s">
        <v>58</v>
      </c>
      <c r="H49" s="28" t="str">
        <f aca="false">INDEX(Prix!$C$5:$C$79,MATCH($A49,Prix!$A$5:$A$79,0))</f>
        <v>Moussasoft</v>
      </c>
      <c r="I49" s="67" t="n">
        <f aca="false">IFERROR(INDEX(Prix!$G$5:$G$79,MATCH($A49,Prix!$A$5:$A$79,0)),"")</f>
        <v>30</v>
      </c>
      <c r="J49" s="31" t="n">
        <f aca="false">IF(I49="","",F49*I49)</f>
        <v>60</v>
      </c>
      <c r="K49" s="27" t="s">
        <v>408</v>
      </c>
      <c r="L49" s="32" t="s">
        <v>60</v>
      </c>
    </row>
    <row r="50" customFormat="false" ht="15" hidden="false" customHeight="false" outlineLevel="0" collapsed="false">
      <c r="A50" s="25" t="s">
        <v>195</v>
      </c>
      <c r="B50" s="26" t="s">
        <v>171</v>
      </c>
      <c r="C50" s="27" t="s">
        <v>196</v>
      </c>
      <c r="D50" s="27" t="s">
        <v>394</v>
      </c>
      <c r="E50" s="27" t="s">
        <v>409</v>
      </c>
      <c r="F50" s="30" t="n">
        <v>1</v>
      </c>
      <c r="G50" s="26" t="s">
        <v>58</v>
      </c>
      <c r="H50" s="28" t="str">
        <f aca="false">INDEX(Prix!$C$5:$C$79,MATCH($A50,Prix!$A$5:$A$79,0))</f>
        <v>Shop4Makers</v>
      </c>
      <c r="I50" s="67" t="n">
        <f aca="false">IFERROR(INDEX(Prix!$G$5:$G$79,MATCH($A50,Prix!$A$5:$A$79,0)),"")</f>
        <v>70</v>
      </c>
      <c r="J50" s="31" t="n">
        <f aca="false">IF(I50="","",F50*I50)</f>
        <v>70</v>
      </c>
      <c r="K50" s="27" t="s">
        <v>410</v>
      </c>
      <c r="L50" s="32" t="s">
        <v>60</v>
      </c>
    </row>
    <row r="51" customFormat="false" ht="23.85" hidden="false" customHeight="false" outlineLevel="0" collapsed="false">
      <c r="A51" s="49" t="s">
        <v>211</v>
      </c>
      <c r="B51" s="50" t="s">
        <v>212</v>
      </c>
      <c r="C51" s="51" t="s">
        <v>213</v>
      </c>
      <c r="D51" s="51" t="s">
        <v>394</v>
      </c>
      <c r="E51" s="51" t="s">
        <v>411</v>
      </c>
      <c r="F51" s="54" t="n">
        <v>1</v>
      </c>
      <c r="G51" s="50" t="s">
        <v>214</v>
      </c>
      <c r="H51" s="52" t="str">
        <f aca="false">INDEX(Prix!$C$5:$C$79,MATCH($A51,Prix!$A$5:$A$79,0))</f>
        <v>Shop4Makers</v>
      </c>
      <c r="I51" s="71" t="n">
        <f aca="false">IFERROR(INDEX(Prix!$G$5:$G$79,MATCH($A51,Prix!$A$5:$A$79,0)),"")</f>
        <v>15</v>
      </c>
      <c r="J51" s="55" t="n">
        <f aca="false">IF(I51="","",F51*I51)</f>
        <v>15</v>
      </c>
      <c r="K51" s="51" t="s">
        <v>412</v>
      </c>
      <c r="L51" s="56" t="s">
        <v>60</v>
      </c>
    </row>
    <row r="52" customFormat="false" ht="23.85" hidden="false" customHeight="false" outlineLevel="0" collapsed="false">
      <c r="A52" s="17" t="s">
        <v>216</v>
      </c>
      <c r="B52" s="18" t="s">
        <v>212</v>
      </c>
      <c r="C52" s="19" t="s">
        <v>217</v>
      </c>
      <c r="D52" s="19" t="s">
        <v>394</v>
      </c>
      <c r="E52" s="19" t="s">
        <v>413</v>
      </c>
      <c r="F52" s="22" t="n">
        <v>1</v>
      </c>
      <c r="G52" s="18" t="s">
        <v>58</v>
      </c>
      <c r="H52" s="20" t="str">
        <f aca="false">INDEX(Prix!$C$5:$C$79,MATCH($A52,Prix!$A$5:$A$79,0))</f>
        <v>Shop4Makers</v>
      </c>
      <c r="I52" s="66" t="n">
        <f aca="false">IFERROR(INDEX(Prix!$G$5:$G$79,MATCH($A52,Prix!$A$5:$A$79,0)),"")</f>
        <v>16</v>
      </c>
      <c r="J52" s="23" t="n">
        <f aca="false">IF(I52="","",F52*I52)</f>
        <v>16</v>
      </c>
      <c r="K52" s="19" t="s">
        <v>414</v>
      </c>
      <c r="L52" s="24" t="s">
        <v>60</v>
      </c>
    </row>
    <row r="53" customFormat="false" ht="23.85" hidden="false" customHeight="false" outlineLevel="0" collapsed="false">
      <c r="A53" s="17" t="s">
        <v>218</v>
      </c>
      <c r="B53" s="18" t="s">
        <v>212</v>
      </c>
      <c r="C53" s="19" t="s">
        <v>219</v>
      </c>
      <c r="D53" s="19" t="s">
        <v>394</v>
      </c>
      <c r="E53" s="19" t="s">
        <v>415</v>
      </c>
      <c r="F53" s="22" t="n">
        <v>1</v>
      </c>
      <c r="G53" s="18" t="s">
        <v>58</v>
      </c>
      <c r="H53" s="20" t="str">
        <f aca="false">INDEX(Prix!$C$5:$C$79,MATCH($A53,Prix!$A$5:$A$79,0))</f>
        <v>Shop4Makers</v>
      </c>
      <c r="I53" s="66" t="n">
        <f aca="false">IFERROR(INDEX(Prix!$G$5:$G$79,MATCH($A53,Prix!$A$5:$A$79,0)),"")</f>
        <v>55</v>
      </c>
      <c r="J53" s="23" t="n">
        <f aca="false">IF(I53="","",F53*I53)</f>
        <v>55</v>
      </c>
      <c r="K53" s="19" t="s">
        <v>416</v>
      </c>
      <c r="L53" s="24" t="s">
        <v>60</v>
      </c>
    </row>
    <row r="54" customFormat="false" ht="15" hidden="false" customHeight="false" outlineLevel="0" collapsed="false">
      <c r="A54" s="17" t="s">
        <v>221</v>
      </c>
      <c r="B54" s="18" t="s">
        <v>212</v>
      </c>
      <c r="C54" s="19" t="s">
        <v>222</v>
      </c>
      <c r="D54" s="19" t="s">
        <v>394</v>
      </c>
      <c r="E54" s="19" t="s">
        <v>417</v>
      </c>
      <c r="F54" s="22" t="n">
        <v>1</v>
      </c>
      <c r="G54" s="18" t="s">
        <v>58</v>
      </c>
      <c r="H54" s="20" t="str">
        <f aca="false">INDEX(Prix!$C$5:$C$79,MATCH($A54,Prix!$A$5:$A$79,0))</f>
        <v>MicroPlanet</v>
      </c>
      <c r="I54" s="66" t="n">
        <f aca="false">IFERROR(INDEX(Prix!$G$5:$G$79,MATCH($A54,Prix!$A$5:$A$79,0)),"")</f>
        <v>9</v>
      </c>
      <c r="J54" s="23" t="n">
        <f aca="false">IF(I54="","",F54*I54)</f>
        <v>9</v>
      </c>
      <c r="K54" s="19" t="s">
        <v>418</v>
      </c>
      <c r="L54" s="24" t="s">
        <v>60</v>
      </c>
    </row>
    <row r="55" customFormat="false" ht="15" hidden="false" customHeight="false" outlineLevel="0" collapsed="false">
      <c r="A55" s="17" t="s">
        <v>223</v>
      </c>
      <c r="B55" s="18" t="s">
        <v>212</v>
      </c>
      <c r="C55" s="19" t="s">
        <v>224</v>
      </c>
      <c r="D55" s="19" t="s">
        <v>394</v>
      </c>
      <c r="E55" s="19" t="s">
        <v>419</v>
      </c>
      <c r="F55" s="22" t="n">
        <v>1</v>
      </c>
      <c r="G55" s="18" t="s">
        <v>58</v>
      </c>
      <c r="H55" s="20" t="str">
        <f aca="false">INDEX(Prix!$C$5:$C$79,MATCH($A55,Prix!$A$5:$A$79,0))</f>
        <v>Jumia.ma (Safe Buys)</v>
      </c>
      <c r="I55" s="66" t="n">
        <f aca="false">IFERROR(INDEX(Prix!$G$5:$G$79,MATCH($A55,Prix!$A$5:$A$79,0)),"")</f>
        <v>110</v>
      </c>
      <c r="J55" s="23" t="n">
        <f aca="false">IF(I55="","",F55*I55)</f>
        <v>110</v>
      </c>
      <c r="K55" s="19" t="s">
        <v>420</v>
      </c>
      <c r="L55" s="24" t="s">
        <v>60</v>
      </c>
    </row>
    <row r="56" customFormat="false" ht="23.85" hidden="false" customHeight="false" outlineLevel="0" collapsed="false">
      <c r="A56" s="25" t="s">
        <v>250</v>
      </c>
      <c r="B56" s="26" t="s">
        <v>251</v>
      </c>
      <c r="C56" s="27" t="s">
        <v>252</v>
      </c>
      <c r="D56" s="27" t="s">
        <v>421</v>
      </c>
      <c r="E56" s="27" t="s">
        <v>422</v>
      </c>
      <c r="F56" s="30" t="n">
        <v>7</v>
      </c>
      <c r="G56" s="26" t="s">
        <v>58</v>
      </c>
      <c r="H56" s="28" t="str">
        <f aca="false">INDEX(Prix!$C$5:$C$79,MATCH($A56,Prix!$A$5:$A$79,0))</f>
        <v>Dsindustrie</v>
      </c>
      <c r="I56" s="67" t="n">
        <f aca="false">IFERROR(INDEX(Prix!$G$5:$G$79,MATCH($A56,Prix!$A$5:$A$79,0)),"")</f>
        <v>2</v>
      </c>
      <c r="J56" s="31" t="n">
        <f aca="false">IF(I56="","",F56*I56)</f>
        <v>14</v>
      </c>
      <c r="K56" s="27"/>
      <c r="L56" s="32" t="s">
        <v>60</v>
      </c>
    </row>
    <row r="57" customFormat="false" ht="15" hidden="false" customHeight="false" outlineLevel="0" collapsed="false">
      <c r="A57" s="25" t="s">
        <v>254</v>
      </c>
      <c r="B57" s="26" t="s">
        <v>251</v>
      </c>
      <c r="C57" s="27" t="s">
        <v>255</v>
      </c>
      <c r="D57" s="27" t="s">
        <v>423</v>
      </c>
      <c r="E57" s="27" t="s">
        <v>424</v>
      </c>
      <c r="F57" s="30" t="n">
        <v>7</v>
      </c>
      <c r="G57" s="26" t="s">
        <v>58</v>
      </c>
      <c r="H57" s="28" t="str">
        <f aca="false">INDEX(Prix!$C$5:$C$79,MATCH($A57,Prix!$A$5:$A$79,0))</f>
        <v>Dsindustrie</v>
      </c>
      <c r="I57" s="67" t="n">
        <f aca="false">IFERROR(INDEX(Prix!$G$5:$G$79,MATCH($A57,Prix!$A$5:$A$79,0)),"")</f>
        <v>0</v>
      </c>
      <c r="J57" s="31" t="n">
        <f aca="false">IF(I57="","",F57*I57)</f>
        <v>0</v>
      </c>
      <c r="K57" s="27"/>
      <c r="L57" s="26"/>
    </row>
    <row r="58" customFormat="false" ht="23.85" hidden="false" customHeight="false" outlineLevel="0" collapsed="false">
      <c r="A58" s="25" t="s">
        <v>257</v>
      </c>
      <c r="B58" s="26" t="s">
        <v>251</v>
      </c>
      <c r="C58" s="27" t="s">
        <v>258</v>
      </c>
      <c r="D58" s="27" t="s">
        <v>394</v>
      </c>
      <c r="E58" s="27" t="s">
        <v>425</v>
      </c>
      <c r="F58" s="30" t="n">
        <v>1</v>
      </c>
      <c r="G58" s="26" t="s">
        <v>58</v>
      </c>
      <c r="H58" s="28" t="str">
        <f aca="false">INDEX(Prix!$C$5:$C$79,MATCH($A58,Prix!$A$5:$A$79,0))</f>
        <v>EnergyMarket</v>
      </c>
      <c r="I58" s="67" t="n">
        <f aca="false">IFERROR(INDEX(Prix!$G$5:$G$79,MATCH($A58,Prix!$A$5:$A$79,0)),"")</f>
        <v>352</v>
      </c>
      <c r="J58" s="31" t="n">
        <f aca="false">IF(I58="","",F58*I58)</f>
        <v>352</v>
      </c>
      <c r="K58" s="27" t="s">
        <v>426</v>
      </c>
      <c r="L58" s="32" t="s">
        <v>60</v>
      </c>
    </row>
    <row r="59" customFormat="false" ht="15" hidden="false" customHeight="false" outlineLevel="0" collapsed="false">
      <c r="A59" s="25" t="s">
        <v>260</v>
      </c>
      <c r="B59" s="26" t="s">
        <v>251</v>
      </c>
      <c r="C59" s="27" t="s">
        <v>261</v>
      </c>
      <c r="D59" s="27" t="s">
        <v>394</v>
      </c>
      <c r="E59" s="27" t="s">
        <v>427</v>
      </c>
      <c r="F59" s="30" t="n">
        <v>6</v>
      </c>
      <c r="G59" s="26" t="s">
        <v>58</v>
      </c>
      <c r="H59" s="28" t="str">
        <f aca="false">INDEX(Prix!$C$5:$C$79,MATCH($A59,Prix!$A$5:$A$79,0))</f>
        <v>Quincaillerie</v>
      </c>
      <c r="I59" s="67" t="str">
        <f aca="false">IFERROR(INDEX(Prix!$G$5:$G$79,MATCH($A59,Prix!$A$5:$A$79,0)),"")</f>
        <v/>
      </c>
      <c r="J59" s="31" t="str">
        <f aca="false">IF(I59="","",F59*I59)</f>
        <v/>
      </c>
      <c r="K59" s="27" t="s">
        <v>428</v>
      </c>
      <c r="L59" s="26"/>
    </row>
    <row r="60" customFormat="false" ht="15" hidden="false" customHeight="false" outlineLevel="0" collapsed="false">
      <c r="A60" s="25" t="s">
        <v>263</v>
      </c>
      <c r="B60" s="26" t="s">
        <v>251</v>
      </c>
      <c r="C60" s="27" t="s">
        <v>264</v>
      </c>
      <c r="D60" s="27" t="s">
        <v>394</v>
      </c>
      <c r="E60" s="27" t="s">
        <v>429</v>
      </c>
      <c r="F60" s="30" t="n">
        <v>5</v>
      </c>
      <c r="G60" s="26" t="s">
        <v>58</v>
      </c>
      <c r="H60" s="28" t="str">
        <f aca="false">INDEX(Prix!$C$5:$C$79,MATCH($A60,Prix!$A$5:$A$79,0))</f>
        <v>ElectroDelivery</v>
      </c>
      <c r="I60" s="67" t="n">
        <f aca="false">IFERROR(INDEX(Prix!$G$5:$G$79,MATCH($A60,Prix!$A$5:$A$79,0)),"")</f>
        <v>3.5</v>
      </c>
      <c r="J60" s="31" t="n">
        <f aca="false">IF(I60="","",F60*I60)</f>
        <v>17.5</v>
      </c>
      <c r="K60" s="27" t="s">
        <v>430</v>
      </c>
      <c r="L60" s="32" t="s">
        <v>60</v>
      </c>
    </row>
  </sheetData>
  <autoFilter ref="A17:L60"/>
  <mergeCells count="5">
    <mergeCell ref="B5:K5"/>
    <mergeCell ref="B6:K6"/>
    <mergeCell ref="B7:K7"/>
    <mergeCell ref="B8:K8"/>
    <mergeCell ref="B9:K9"/>
  </mergeCells>
  <hyperlinks>
    <hyperlink ref="L18" r:id="rId1" display="lien"/>
    <hyperlink ref="L19" r:id="rId2" display="lien"/>
    <hyperlink ref="L20" r:id="rId3" display="lien"/>
    <hyperlink ref="L21" r:id="rId4" display="lien"/>
    <hyperlink ref="L22" r:id="rId5" display="lien"/>
    <hyperlink ref="L23" r:id="rId6" display="lien"/>
    <hyperlink ref="L24" r:id="rId7" display="lien"/>
    <hyperlink ref="L25" r:id="rId8" display="lien"/>
    <hyperlink ref="L26" r:id="rId9" display="lien"/>
    <hyperlink ref="L27" r:id="rId10" display="lien"/>
    <hyperlink ref="L28" r:id="rId11" display="lien"/>
    <hyperlink ref="L29" r:id="rId12" display="lien"/>
    <hyperlink ref="L30" r:id="rId13" display="lien"/>
    <hyperlink ref="L31" r:id="rId14" display="lien"/>
    <hyperlink ref="L32" r:id="rId15" display="lien"/>
    <hyperlink ref="L33" r:id="rId16" display="lien"/>
    <hyperlink ref="L34" r:id="rId17" display="lien"/>
    <hyperlink ref="L35" r:id="rId18" display="lien"/>
    <hyperlink ref="L36" r:id="rId19" display="lien"/>
    <hyperlink ref="L37" r:id="rId20" display="lien"/>
    <hyperlink ref="L38" r:id="rId21" display="lien"/>
    <hyperlink ref="L39" r:id="rId22" display="lien"/>
    <hyperlink ref="L40" r:id="rId23" display="lien"/>
    <hyperlink ref="L43" r:id="rId24" display="lien"/>
    <hyperlink ref="L44" r:id="rId25" display="lien"/>
    <hyperlink ref="L45" r:id="rId26" display="lien"/>
    <hyperlink ref="L46" r:id="rId27" display="lien"/>
    <hyperlink ref="L47" r:id="rId28" display="lien"/>
    <hyperlink ref="L48" r:id="rId29" display="lien"/>
    <hyperlink ref="L49" r:id="rId30" display="lien"/>
    <hyperlink ref="L50" r:id="rId31" display="lien"/>
    <hyperlink ref="L51" r:id="rId32" display="lien"/>
    <hyperlink ref="L52" r:id="rId33" display="lien"/>
    <hyperlink ref="L53" r:id="rId34" display="lien"/>
    <hyperlink ref="L54" r:id="rId35" display="lien"/>
    <hyperlink ref="L55" r:id="rId36" display="lien"/>
    <hyperlink ref="L56" r:id="rId37" display="lien"/>
    <hyperlink ref="L58" r:id="rId38" display="lien"/>
    <hyperlink ref="L60" r:id="rId39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7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58"/>
    <col collapsed="false" customWidth="true" hidden="false" outlineLevel="0" max="12" min="12" style="0" width="6"/>
  </cols>
  <sheetData>
    <row r="1" customFormat="false" ht="17.35" hidden="false" customHeight="false" outlineLevel="0" collapsed="false">
      <c r="A1" s="7" t="s">
        <v>431</v>
      </c>
    </row>
    <row r="2" customFormat="false" ht="15" hidden="false" customHeight="false" outlineLevel="0" collapsed="false">
      <c r="A2" s="8" t="s">
        <v>322</v>
      </c>
    </row>
    <row r="4" customFormat="false" ht="15" hidden="false" customHeight="false" outlineLevel="0" collapsed="false">
      <c r="A4" s="13" t="s">
        <v>323</v>
      </c>
    </row>
    <row r="5" customFormat="false" ht="15" hidden="false" customHeight="true" outlineLevel="0" collapsed="false">
      <c r="B5" s="65" t="s">
        <v>432</v>
      </c>
      <c r="C5" s="65"/>
      <c r="D5" s="65"/>
      <c r="E5" s="65"/>
      <c r="F5" s="65"/>
      <c r="G5" s="65"/>
      <c r="H5" s="65"/>
      <c r="I5" s="65"/>
      <c r="J5" s="65"/>
      <c r="K5" s="65"/>
    </row>
    <row r="6" customFormat="false" ht="15" hidden="false" customHeight="true" outlineLevel="0" collapsed="false">
      <c r="B6" s="65" t="s">
        <v>433</v>
      </c>
      <c r="C6" s="65"/>
      <c r="D6" s="65"/>
      <c r="E6" s="65"/>
      <c r="F6" s="65"/>
      <c r="G6" s="65"/>
      <c r="H6" s="65"/>
      <c r="I6" s="65"/>
      <c r="J6" s="65"/>
      <c r="K6" s="65"/>
    </row>
    <row r="7" customFormat="false" ht="15" hidden="false" customHeight="true" outlineLevel="0" collapsed="false">
      <c r="B7" s="65" t="s">
        <v>434</v>
      </c>
      <c r="C7" s="65"/>
      <c r="D7" s="65"/>
      <c r="E7" s="65"/>
      <c r="F7" s="65"/>
      <c r="G7" s="65"/>
      <c r="H7" s="65"/>
      <c r="I7" s="65"/>
      <c r="J7" s="65"/>
      <c r="K7" s="65"/>
    </row>
    <row r="8" customFormat="false" ht="15" hidden="false" customHeight="true" outlineLevel="0" collapsed="false">
      <c r="B8" s="65" t="s">
        <v>435</v>
      </c>
      <c r="C8" s="65"/>
      <c r="D8" s="65"/>
      <c r="E8" s="65"/>
      <c r="F8" s="65"/>
      <c r="G8" s="65"/>
      <c r="H8" s="65"/>
      <c r="I8" s="65"/>
      <c r="J8" s="65"/>
      <c r="K8" s="65"/>
    </row>
    <row r="9" customFormat="false" ht="27" hidden="false" customHeight="true" outlineLevel="0" collapsed="false">
      <c r="B9" s="65" t="s">
        <v>436</v>
      </c>
      <c r="C9" s="65"/>
      <c r="D9" s="65"/>
      <c r="E9" s="65"/>
      <c r="F9" s="65"/>
      <c r="G9" s="65"/>
      <c r="H9" s="65"/>
      <c r="I9" s="65"/>
      <c r="J9" s="65"/>
      <c r="K9" s="65"/>
    </row>
    <row r="11" customFormat="false" ht="15" hidden="false" customHeight="false" outlineLevel="0" collapsed="false">
      <c r="C11" s="9" t="s">
        <v>329</v>
      </c>
      <c r="D11" s="10"/>
      <c r="E11" s="10"/>
      <c r="F11" s="10"/>
      <c r="G11" s="10"/>
      <c r="H11" s="10"/>
      <c r="I11" s="10"/>
      <c r="J11" s="11" t="n">
        <f aca="false">SUMIFS(J18:J57,G18:G57,"À acheter")</f>
        <v>929.8</v>
      </c>
    </row>
    <row r="12" customFormat="false" ht="15" hidden="false" customHeight="false" outlineLevel="0" collapsed="false">
      <c r="C12" s="9" t="s">
        <v>39</v>
      </c>
      <c r="D12" s="10"/>
      <c r="E12" s="10"/>
      <c r="F12" s="10"/>
      <c r="G12" s="10"/>
      <c r="H12" s="10"/>
      <c r="I12" s="10"/>
      <c r="J12" s="11" t="n">
        <f aca="false">SUMIFS(J18:J57,G18:G57,"Option")</f>
        <v>85</v>
      </c>
    </row>
    <row r="13" customFormat="false" ht="15" hidden="false" customHeight="false" outlineLevel="0" collapsed="false">
      <c r="C13" s="9" t="s">
        <v>31</v>
      </c>
      <c r="D13" s="10"/>
      <c r="E13" s="10"/>
      <c r="F13" s="10"/>
      <c r="G13" s="10"/>
      <c r="H13" s="10"/>
      <c r="I13" s="10"/>
      <c r="J13" s="11" t="n">
        <f aca="false">SUMIFS(J18:J57,G18:G57,"Déjà possédé")</f>
        <v>0</v>
      </c>
    </row>
    <row r="14" customFormat="false" ht="15" hidden="false" customHeight="false" outlineLevel="0" collapsed="false">
      <c r="C14" s="9" t="s">
        <v>330</v>
      </c>
      <c r="D14" s="10"/>
      <c r="E14" s="10"/>
      <c r="F14" s="10"/>
      <c r="G14" s="10"/>
      <c r="H14" s="10"/>
      <c r="I14" s="10"/>
      <c r="J14" s="12" t="n">
        <f aca="false">SUMPRODUCT((G18:G57="À acheter")*(I18:I57=""))</f>
        <v>3</v>
      </c>
    </row>
    <row r="17" customFormat="false" ht="30" hidden="false" customHeight="true" outlineLevel="0" collapsed="false">
      <c r="A17" s="16" t="s">
        <v>40</v>
      </c>
      <c r="B17" s="16" t="s">
        <v>41</v>
      </c>
      <c r="C17" s="16" t="s">
        <v>42</v>
      </c>
      <c r="D17" s="16" t="s">
        <v>331</v>
      </c>
      <c r="E17" s="16" t="s">
        <v>332</v>
      </c>
      <c r="F17" s="16" t="s">
        <v>333</v>
      </c>
      <c r="G17" s="16" t="s">
        <v>43</v>
      </c>
      <c r="H17" s="16" t="s">
        <v>51</v>
      </c>
      <c r="I17" s="16" t="s">
        <v>283</v>
      </c>
      <c r="J17" s="16" t="s">
        <v>50</v>
      </c>
      <c r="K17" s="16" t="s">
        <v>334</v>
      </c>
      <c r="L17" s="16" t="s">
        <v>54</v>
      </c>
    </row>
    <row r="18" customFormat="false" ht="23.85" hidden="false" customHeight="false" outlineLevel="0" collapsed="false">
      <c r="A18" s="17" t="s">
        <v>55</v>
      </c>
      <c r="B18" s="18" t="s">
        <v>56</v>
      </c>
      <c r="C18" s="19" t="s">
        <v>57</v>
      </c>
      <c r="D18" s="19" t="s">
        <v>302</v>
      </c>
      <c r="E18" s="19" t="s">
        <v>335</v>
      </c>
      <c r="F18" s="22" t="n">
        <v>1</v>
      </c>
      <c r="G18" s="18" t="s">
        <v>58</v>
      </c>
      <c r="H18" s="20" t="str">
        <f aca="false">INDEX(Prix!$C$5:$C$79,MATCH($A18,Prix!$A$5:$A$79,0))</f>
        <v>JLCPCB</v>
      </c>
      <c r="I18" s="66" t="str">
        <f aca="false">IFERROR(INDEX(Prix!$G$5:$G$79,MATCH($A18,Prix!$A$5:$A$79,0)),"")</f>
        <v/>
      </c>
      <c r="J18" s="23" t="str">
        <f aca="false">IF(I18="","",F18*I18)</f>
        <v/>
      </c>
      <c r="K18" s="19"/>
      <c r="L18" s="24" t="s">
        <v>60</v>
      </c>
    </row>
    <row r="19" customFormat="false" ht="23.85" hidden="false" customHeight="false" outlineLevel="0" collapsed="false">
      <c r="A19" s="17" t="s">
        <v>61</v>
      </c>
      <c r="B19" s="18" t="s">
        <v>56</v>
      </c>
      <c r="C19" s="19" t="s">
        <v>62</v>
      </c>
      <c r="D19" s="19" t="s">
        <v>336</v>
      </c>
      <c r="E19" s="19" t="s">
        <v>337</v>
      </c>
      <c r="F19" s="22" t="n">
        <v>1</v>
      </c>
      <c r="G19" s="18" t="s">
        <v>58</v>
      </c>
      <c r="H19" s="20" t="str">
        <f aca="false">INDEX(Prix!$C$5:$C$79,MATCH($A19,Prix!$A$5:$A$79,0))</f>
        <v>Shop4Makers</v>
      </c>
      <c r="I19" s="66" t="n">
        <f aca="false">IFERROR(INDEX(Prix!$G$5:$G$79,MATCH($A19,Prix!$A$5:$A$79,0)),"")</f>
        <v>113</v>
      </c>
      <c r="J19" s="23" t="n">
        <f aca="false">IF(I19="","",F19*I19)</f>
        <v>113</v>
      </c>
      <c r="K19" s="19" t="s">
        <v>338</v>
      </c>
      <c r="L19" s="24" t="s">
        <v>60</v>
      </c>
    </row>
    <row r="20" customFormat="false" ht="35.05" hidden="false" customHeight="false" outlineLevel="0" collapsed="false">
      <c r="A20" s="25" t="s">
        <v>68</v>
      </c>
      <c r="B20" s="26" t="s">
        <v>65</v>
      </c>
      <c r="C20" s="27" t="s">
        <v>69</v>
      </c>
      <c r="D20" s="27" t="s">
        <v>437</v>
      </c>
      <c r="E20" s="27" t="s">
        <v>438</v>
      </c>
      <c r="F20" s="30" t="n">
        <v>10</v>
      </c>
      <c r="G20" s="26" t="s">
        <v>58</v>
      </c>
      <c r="H20" s="28" t="str">
        <f aca="false">INDEX(Prix!$C$5:$C$79,MATCH($A20,Prix!$A$5:$A$79,0))</f>
        <v>MicroPlanet</v>
      </c>
      <c r="I20" s="67" t="n">
        <f aca="false">IFERROR(INDEX(Prix!$G$5:$G$79,MATCH($A20,Prix!$A$5:$A$79,0)),"")</f>
        <v>0.3</v>
      </c>
      <c r="J20" s="31" t="n">
        <f aca="false">IF(I20="","",F20*I20)</f>
        <v>3</v>
      </c>
      <c r="K20" s="27"/>
      <c r="L20" s="32" t="s">
        <v>60</v>
      </c>
    </row>
    <row r="21" customFormat="false" ht="15" hidden="false" customHeight="false" outlineLevel="0" collapsed="false">
      <c r="A21" s="25" t="s">
        <v>72</v>
      </c>
      <c r="B21" s="26" t="s">
        <v>65</v>
      </c>
      <c r="C21" s="27" t="s">
        <v>73</v>
      </c>
      <c r="D21" s="27" t="s">
        <v>439</v>
      </c>
      <c r="E21" s="27" t="s">
        <v>440</v>
      </c>
      <c r="F21" s="30" t="n">
        <v>2</v>
      </c>
      <c r="G21" s="26" t="s">
        <v>58</v>
      </c>
      <c r="H21" s="28" t="str">
        <f aca="false">INDEX(Prix!$C$5:$C$79,MATCH($A21,Prix!$A$5:$A$79,0))</f>
        <v>MicroPlanet</v>
      </c>
      <c r="I21" s="67" t="n">
        <f aca="false">IFERROR(INDEX(Prix!$G$5:$G$79,MATCH($A21,Prix!$A$5:$A$79,0)),"")</f>
        <v>0.3</v>
      </c>
      <c r="J21" s="31" t="n">
        <f aca="false">IF(I21="","",F21*I21)</f>
        <v>0.6</v>
      </c>
      <c r="K21" s="27"/>
      <c r="L21" s="32" t="s">
        <v>60</v>
      </c>
    </row>
    <row r="22" customFormat="false" ht="23.85" hidden="false" customHeight="false" outlineLevel="0" collapsed="false">
      <c r="A22" s="25" t="s">
        <v>74</v>
      </c>
      <c r="B22" s="26" t="s">
        <v>65</v>
      </c>
      <c r="C22" s="27" t="s">
        <v>75</v>
      </c>
      <c r="D22" s="27" t="s">
        <v>441</v>
      </c>
      <c r="E22" s="27" t="s">
        <v>442</v>
      </c>
      <c r="F22" s="30" t="n">
        <v>4</v>
      </c>
      <c r="G22" s="26" t="s">
        <v>58</v>
      </c>
      <c r="H22" s="28" t="str">
        <f aca="false">INDEX(Prix!$C$5:$C$79,MATCH($A22,Prix!$A$5:$A$79,0))</f>
        <v>MicroPlanet</v>
      </c>
      <c r="I22" s="67" t="n">
        <f aca="false">IFERROR(INDEX(Prix!$G$5:$G$79,MATCH($A22,Prix!$A$5:$A$79,0)),"")</f>
        <v>0.3</v>
      </c>
      <c r="J22" s="31" t="n">
        <f aca="false">IF(I22="","",F22*I22)</f>
        <v>1.2</v>
      </c>
      <c r="K22" s="27"/>
      <c r="L22" s="32" t="s">
        <v>60</v>
      </c>
    </row>
    <row r="23" customFormat="false" ht="15" hidden="false" customHeight="false" outlineLevel="0" collapsed="false">
      <c r="A23" s="25" t="s">
        <v>76</v>
      </c>
      <c r="B23" s="26" t="s">
        <v>65</v>
      </c>
      <c r="C23" s="27" t="s">
        <v>77</v>
      </c>
      <c r="D23" s="27" t="s">
        <v>347</v>
      </c>
      <c r="E23" s="27" t="s">
        <v>348</v>
      </c>
      <c r="F23" s="30" t="n">
        <v>1</v>
      </c>
      <c r="G23" s="26" t="s">
        <v>58</v>
      </c>
      <c r="H23" s="28" t="str">
        <f aca="false">INDEX(Prix!$C$5:$C$79,MATCH($A23,Prix!$A$5:$A$79,0))</f>
        <v>MicroPlanet</v>
      </c>
      <c r="I23" s="67" t="n">
        <f aca="false">IFERROR(INDEX(Prix!$G$5:$G$79,MATCH($A23,Prix!$A$5:$A$79,0)),"")</f>
        <v>0.3</v>
      </c>
      <c r="J23" s="31" t="n">
        <f aca="false">IF(I23="","",F23*I23)</f>
        <v>0.3</v>
      </c>
      <c r="K23" s="27"/>
      <c r="L23" s="32" t="s">
        <v>60</v>
      </c>
    </row>
    <row r="24" customFormat="false" ht="35.05" hidden="false" customHeight="false" outlineLevel="0" collapsed="false">
      <c r="A24" s="25" t="s">
        <v>78</v>
      </c>
      <c r="B24" s="26" t="s">
        <v>65</v>
      </c>
      <c r="C24" s="27" t="s">
        <v>79</v>
      </c>
      <c r="D24" s="27" t="s">
        <v>349</v>
      </c>
      <c r="E24" s="27" t="s">
        <v>350</v>
      </c>
      <c r="F24" s="30" t="n">
        <v>4</v>
      </c>
      <c r="G24" s="26" t="s">
        <v>58</v>
      </c>
      <c r="H24" s="28" t="str">
        <f aca="false">INDEX(Prix!$C$5:$C$79,MATCH($A24,Prix!$A$5:$A$79,0))</f>
        <v>MicroPlanet</v>
      </c>
      <c r="I24" s="67" t="n">
        <f aca="false">IFERROR(INDEX(Prix!$G$5:$G$79,MATCH($A24,Prix!$A$5:$A$79,0)),"")</f>
        <v>0.3</v>
      </c>
      <c r="J24" s="31" t="n">
        <f aca="false">IF(I24="","",F24*I24)</f>
        <v>1.2</v>
      </c>
      <c r="K24" s="27"/>
      <c r="L24" s="32" t="s">
        <v>60</v>
      </c>
    </row>
    <row r="25" customFormat="false" ht="23.85" hidden="false" customHeight="false" outlineLevel="0" collapsed="false">
      <c r="A25" s="17" t="s">
        <v>80</v>
      </c>
      <c r="B25" s="18" t="s">
        <v>81</v>
      </c>
      <c r="C25" s="19" t="s">
        <v>82</v>
      </c>
      <c r="D25" s="19" t="s">
        <v>351</v>
      </c>
      <c r="E25" s="19" t="s">
        <v>352</v>
      </c>
      <c r="F25" s="22" t="n">
        <v>8</v>
      </c>
      <c r="G25" s="18" t="s">
        <v>58</v>
      </c>
      <c r="H25" s="20" t="str">
        <f aca="false">INDEX(Prix!$C$5:$C$79,MATCH($A25,Prix!$A$5:$A$79,0))</f>
        <v>A2itronic</v>
      </c>
      <c r="I25" s="66" t="n">
        <f aca="false">IFERROR(INDEX(Prix!$G$5:$G$79,MATCH($A25,Prix!$A$5:$A$79,0)),"")</f>
        <v>0.5</v>
      </c>
      <c r="J25" s="23" t="n">
        <f aca="false">IF(I25="","",F25*I25)</f>
        <v>4</v>
      </c>
      <c r="K25" s="19"/>
      <c r="L25" s="24" t="s">
        <v>60</v>
      </c>
    </row>
    <row r="26" customFormat="false" ht="15" hidden="false" customHeight="false" outlineLevel="0" collapsed="false">
      <c r="A26" s="17" t="s">
        <v>84</v>
      </c>
      <c r="B26" s="18" t="s">
        <v>81</v>
      </c>
      <c r="C26" s="19" t="s">
        <v>85</v>
      </c>
      <c r="D26" s="19" t="s">
        <v>353</v>
      </c>
      <c r="E26" s="19" t="s">
        <v>354</v>
      </c>
      <c r="F26" s="22" t="n">
        <v>1</v>
      </c>
      <c r="G26" s="18" t="s">
        <v>58</v>
      </c>
      <c r="H26" s="20" t="str">
        <f aca="false">INDEX(Prix!$C$5:$C$79,MATCH($A26,Prix!$A$5:$A$79,0))</f>
        <v>A2itronic</v>
      </c>
      <c r="I26" s="66" t="n">
        <f aca="false">IFERROR(INDEX(Prix!$G$5:$G$79,MATCH($A26,Prix!$A$5:$A$79,0)),"")</f>
        <v>1</v>
      </c>
      <c r="J26" s="23" t="n">
        <f aca="false">IF(I26="","",F26*I26)</f>
        <v>1</v>
      </c>
      <c r="K26" s="19"/>
      <c r="L26" s="24" t="s">
        <v>60</v>
      </c>
    </row>
    <row r="27" customFormat="false" ht="15" hidden="false" customHeight="false" outlineLevel="0" collapsed="false">
      <c r="A27" s="17" t="s">
        <v>87</v>
      </c>
      <c r="B27" s="18" t="s">
        <v>81</v>
      </c>
      <c r="C27" s="19" t="s">
        <v>88</v>
      </c>
      <c r="D27" s="19" t="s">
        <v>355</v>
      </c>
      <c r="E27" s="19" t="s">
        <v>356</v>
      </c>
      <c r="F27" s="22" t="n">
        <v>1</v>
      </c>
      <c r="G27" s="18" t="s">
        <v>58</v>
      </c>
      <c r="H27" s="20" t="str">
        <f aca="false">INDEX(Prix!$C$5:$C$79,MATCH($A27,Prix!$A$5:$A$79,0))</f>
        <v>A2itronic</v>
      </c>
      <c r="I27" s="66" t="n">
        <f aca="false">IFERROR(INDEX(Prix!$G$5:$G$79,MATCH($A27,Prix!$A$5:$A$79,0)),"")</f>
        <v>1</v>
      </c>
      <c r="J27" s="23" t="n">
        <f aca="false">IF(I27="","",F27*I27)</f>
        <v>1</v>
      </c>
      <c r="K27" s="19"/>
      <c r="L27" s="24" t="s">
        <v>60</v>
      </c>
    </row>
    <row r="28" customFormat="false" ht="23.85" hidden="false" customHeight="false" outlineLevel="0" collapsed="false">
      <c r="A28" s="17" t="s">
        <v>96</v>
      </c>
      <c r="B28" s="18" t="s">
        <v>81</v>
      </c>
      <c r="C28" s="19" t="s">
        <v>97</v>
      </c>
      <c r="D28" s="19" t="s">
        <v>359</v>
      </c>
      <c r="E28" s="19" t="s">
        <v>360</v>
      </c>
      <c r="F28" s="22" t="n">
        <v>1</v>
      </c>
      <c r="G28" s="18" t="s">
        <v>58</v>
      </c>
      <c r="H28" s="20" t="str">
        <f aca="false">INDEX(Prix!$C$5:$C$79,MATCH($A28,Prix!$A$5:$A$79,0))</f>
        <v>A2itronic</v>
      </c>
      <c r="I28" s="66" t="n">
        <f aca="false">IFERROR(INDEX(Prix!$G$5:$G$79,MATCH($A28,Prix!$A$5:$A$79,0)),"")</f>
        <v>3</v>
      </c>
      <c r="J28" s="23" t="n">
        <f aca="false">IF(I28="","",F28*I28)</f>
        <v>3</v>
      </c>
      <c r="K28" s="19"/>
      <c r="L28" s="24" t="s">
        <v>60</v>
      </c>
    </row>
    <row r="29" customFormat="false" ht="23.85" hidden="false" customHeight="false" outlineLevel="0" collapsed="false">
      <c r="A29" s="25" t="s">
        <v>99</v>
      </c>
      <c r="B29" s="26" t="s">
        <v>100</v>
      </c>
      <c r="C29" s="27" t="s">
        <v>101</v>
      </c>
      <c r="D29" s="27" t="s">
        <v>443</v>
      </c>
      <c r="E29" s="27" t="s">
        <v>444</v>
      </c>
      <c r="F29" s="30" t="n">
        <v>1</v>
      </c>
      <c r="G29" s="26" t="s">
        <v>58</v>
      </c>
      <c r="H29" s="28" t="str">
        <f aca="false">INDEX(Prix!$C$5:$C$79,MATCH($A29,Prix!$A$5:$A$79,0))</f>
        <v>Shop4Makers</v>
      </c>
      <c r="I29" s="67" t="n">
        <f aca="false">IFERROR(INDEX(Prix!$G$5:$G$79,MATCH($A29,Prix!$A$5:$A$79,0)),"")</f>
        <v>0.9</v>
      </c>
      <c r="J29" s="31" t="n">
        <f aca="false">IF(I29="","",F29*I29)</f>
        <v>0.9</v>
      </c>
      <c r="K29" s="27"/>
      <c r="L29" s="32" t="s">
        <v>60</v>
      </c>
    </row>
    <row r="30" customFormat="false" ht="23.85" hidden="false" customHeight="false" outlineLevel="0" collapsed="false">
      <c r="A30" s="25" t="s">
        <v>102</v>
      </c>
      <c r="B30" s="26" t="s">
        <v>100</v>
      </c>
      <c r="C30" s="27" t="s">
        <v>103</v>
      </c>
      <c r="D30" s="27" t="s">
        <v>361</v>
      </c>
      <c r="E30" s="27" t="s">
        <v>362</v>
      </c>
      <c r="F30" s="30" t="n">
        <v>1</v>
      </c>
      <c r="G30" s="26" t="s">
        <v>58</v>
      </c>
      <c r="H30" s="28" t="str">
        <f aca="false">INDEX(Prix!$C$5:$C$79,MATCH($A30,Prix!$A$5:$A$79,0))</f>
        <v>Moussasoft</v>
      </c>
      <c r="I30" s="67" t="n">
        <f aca="false">IFERROR(INDEX(Prix!$G$5:$G$79,MATCH($A30,Prix!$A$5:$A$79,0)),"")</f>
        <v>2</v>
      </c>
      <c r="J30" s="31" t="n">
        <f aca="false">IF(I30="","",F30*I30)</f>
        <v>2</v>
      </c>
      <c r="K30" s="27"/>
      <c r="L30" s="32" t="s">
        <v>60</v>
      </c>
    </row>
    <row r="31" customFormat="false" ht="23.85" hidden="false" customHeight="false" outlineLevel="0" collapsed="false">
      <c r="A31" s="33" t="s">
        <v>105</v>
      </c>
      <c r="B31" s="34" t="s">
        <v>100</v>
      </c>
      <c r="C31" s="35" t="s">
        <v>106</v>
      </c>
      <c r="D31" s="35" t="s">
        <v>363</v>
      </c>
      <c r="E31" s="35" t="s">
        <v>364</v>
      </c>
      <c r="F31" s="38" t="n">
        <v>1</v>
      </c>
      <c r="G31" s="34" t="s">
        <v>58</v>
      </c>
      <c r="H31" s="36" t="str">
        <f aca="false">INDEX(Prix!$C$5:$C$79,MATCH($A31,Prix!$A$5:$A$79,0))</f>
        <v>LCSC</v>
      </c>
      <c r="I31" s="68" t="str">
        <f aca="false">IFERROR(INDEX(Prix!$G$5:$G$79,MATCH($A31,Prix!$A$5:$A$79,0)),"")</f>
        <v/>
      </c>
      <c r="J31" s="39" t="str">
        <f aca="false">IF(I31="","",F31*I31)</f>
        <v/>
      </c>
      <c r="K31" s="35" t="s">
        <v>365</v>
      </c>
      <c r="L31" s="40" t="s">
        <v>60</v>
      </c>
    </row>
    <row r="32" customFormat="false" ht="15" hidden="false" customHeight="false" outlineLevel="0" collapsed="false">
      <c r="A32" s="25" t="s">
        <v>114</v>
      </c>
      <c r="B32" s="26" t="s">
        <v>100</v>
      </c>
      <c r="C32" s="27" t="s">
        <v>115</v>
      </c>
      <c r="D32" s="27" t="s">
        <v>445</v>
      </c>
      <c r="E32" s="27" t="s">
        <v>446</v>
      </c>
      <c r="F32" s="30" t="n">
        <v>2</v>
      </c>
      <c r="G32" s="26" t="s">
        <v>58</v>
      </c>
      <c r="H32" s="28" t="str">
        <f aca="false">INDEX(Prix!$C$5:$C$79,MATCH($A32,Prix!$A$5:$A$79,0))</f>
        <v>A2itronic</v>
      </c>
      <c r="I32" s="67" t="n">
        <f aca="false">IFERROR(INDEX(Prix!$G$5:$G$79,MATCH($A32,Prix!$A$5:$A$79,0)),"")</f>
        <v>1</v>
      </c>
      <c r="J32" s="31" t="n">
        <f aca="false">IF(I32="","",F32*I32)</f>
        <v>2</v>
      </c>
      <c r="K32" s="27" t="s">
        <v>368</v>
      </c>
      <c r="L32" s="32" t="s">
        <v>60</v>
      </c>
    </row>
    <row r="33" customFormat="false" ht="35.05" hidden="false" customHeight="false" outlineLevel="0" collapsed="false">
      <c r="A33" s="25" t="s">
        <v>117</v>
      </c>
      <c r="B33" s="26" t="s">
        <v>100</v>
      </c>
      <c r="C33" s="27" t="s">
        <v>118</v>
      </c>
      <c r="D33" s="27" t="s">
        <v>369</v>
      </c>
      <c r="E33" s="27" t="s">
        <v>370</v>
      </c>
      <c r="F33" s="30" t="n">
        <v>2</v>
      </c>
      <c r="G33" s="26" t="s">
        <v>58</v>
      </c>
      <c r="H33" s="28" t="str">
        <f aca="false">INDEX(Prix!$C$5:$C$79,MATCH($A33,Prix!$A$5:$A$79,0))</f>
        <v>A2itronic</v>
      </c>
      <c r="I33" s="67" t="n">
        <f aca="false">IFERROR(INDEX(Prix!$G$5:$G$79,MATCH($A33,Prix!$A$5:$A$79,0)),"")</f>
        <v>10</v>
      </c>
      <c r="J33" s="31" t="n">
        <f aca="false">IF(I33="","",F33*I33)</f>
        <v>20</v>
      </c>
      <c r="K33" s="27" t="s">
        <v>371</v>
      </c>
      <c r="L33" s="32" t="s">
        <v>60</v>
      </c>
    </row>
    <row r="34" customFormat="false" ht="23.85" hidden="false" customHeight="false" outlineLevel="0" collapsed="false">
      <c r="A34" s="25" t="s">
        <v>120</v>
      </c>
      <c r="B34" s="26" t="s">
        <v>100</v>
      </c>
      <c r="C34" s="27" t="s">
        <v>121</v>
      </c>
      <c r="D34" s="27" t="s">
        <v>372</v>
      </c>
      <c r="E34" s="27" t="s">
        <v>373</v>
      </c>
      <c r="F34" s="30" t="n">
        <v>1</v>
      </c>
      <c r="G34" s="26" t="s">
        <v>58</v>
      </c>
      <c r="H34" s="28" t="str">
        <f aca="false">INDEX(Prix!$C$5:$C$79,MATCH($A34,Prix!$A$5:$A$79,0))</f>
        <v>Megma</v>
      </c>
      <c r="I34" s="67" t="n">
        <f aca="false">IFERROR(INDEX(Prix!$G$5:$G$79,MATCH($A34,Prix!$A$5:$A$79,0)),"")</f>
        <v>7.5</v>
      </c>
      <c r="J34" s="31" t="n">
        <f aca="false">IF(I34="","",F34*I34)</f>
        <v>7.5</v>
      </c>
      <c r="K34" s="27" t="s">
        <v>374</v>
      </c>
      <c r="L34" s="32" t="s">
        <v>60</v>
      </c>
    </row>
    <row r="35" customFormat="false" ht="15" hidden="false" customHeight="false" outlineLevel="0" collapsed="false">
      <c r="A35" s="25" t="s">
        <v>123</v>
      </c>
      <c r="B35" s="26" t="s">
        <v>100</v>
      </c>
      <c r="C35" s="27" t="s">
        <v>124</v>
      </c>
      <c r="D35" s="27" t="s">
        <v>447</v>
      </c>
      <c r="E35" s="27" t="s">
        <v>448</v>
      </c>
      <c r="F35" s="30" t="n">
        <v>1</v>
      </c>
      <c r="G35" s="26" t="s">
        <v>58</v>
      </c>
      <c r="H35" s="28" t="str">
        <f aca="false">INDEX(Prix!$C$5:$C$79,MATCH($A35,Prix!$A$5:$A$79,0))</f>
        <v>Moussasoft</v>
      </c>
      <c r="I35" s="67" t="n">
        <f aca="false">IFERROR(INDEX(Prix!$G$5:$G$79,MATCH($A35,Prix!$A$5:$A$79,0)),"")</f>
        <v>1</v>
      </c>
      <c r="J35" s="31" t="n">
        <f aca="false">IF(I35="","",F35*I35)</f>
        <v>1</v>
      </c>
      <c r="K35" s="27"/>
      <c r="L35" s="32" t="s">
        <v>60</v>
      </c>
    </row>
    <row r="36" customFormat="false" ht="23.85" hidden="false" customHeight="false" outlineLevel="0" collapsed="false">
      <c r="A36" s="17" t="s">
        <v>127</v>
      </c>
      <c r="B36" s="18" t="s">
        <v>128</v>
      </c>
      <c r="C36" s="19" t="s">
        <v>129</v>
      </c>
      <c r="D36" s="19" t="s">
        <v>449</v>
      </c>
      <c r="E36" s="19" t="s">
        <v>450</v>
      </c>
      <c r="F36" s="22" t="n">
        <v>1</v>
      </c>
      <c r="G36" s="18" t="s">
        <v>58</v>
      </c>
      <c r="H36" s="20" t="str">
        <f aca="false">INDEX(Prix!$C$5:$C$79,MATCH($A36,Prix!$A$5:$A$79,0))</f>
        <v>Moussasoft</v>
      </c>
      <c r="I36" s="66" t="n">
        <f aca="false">IFERROR(INDEX(Prix!$G$5:$G$79,MATCH($A36,Prix!$A$5:$A$79,0)),"")</f>
        <v>18</v>
      </c>
      <c r="J36" s="23" t="n">
        <f aca="false">IF(I36="","",F36*I36)</f>
        <v>18</v>
      </c>
      <c r="K36" s="19"/>
      <c r="L36" s="24" t="s">
        <v>60</v>
      </c>
    </row>
    <row r="37" customFormat="false" ht="46.25" hidden="false" customHeight="false" outlineLevel="0" collapsed="false">
      <c r="A37" s="25" t="s">
        <v>143</v>
      </c>
      <c r="B37" s="26" t="s">
        <v>144</v>
      </c>
      <c r="C37" s="27" t="s">
        <v>145</v>
      </c>
      <c r="D37" s="27" t="s">
        <v>375</v>
      </c>
      <c r="E37" s="27" t="s">
        <v>376</v>
      </c>
      <c r="F37" s="30" t="n">
        <v>5</v>
      </c>
      <c r="G37" s="26" t="s">
        <v>58</v>
      </c>
      <c r="H37" s="28" t="str">
        <f aca="false">INDEX(Prix!$C$5:$C$79,MATCH($A37,Prix!$A$5:$A$79,0))</f>
        <v>MicroPlanet</v>
      </c>
      <c r="I37" s="67" t="n">
        <f aca="false">IFERROR(INDEX(Prix!$G$5:$G$79,MATCH($A37,Prix!$A$5:$A$79,0)),"")</f>
        <v>2</v>
      </c>
      <c r="J37" s="31" t="n">
        <f aca="false">IF(I37="","",F37*I37)</f>
        <v>10</v>
      </c>
      <c r="K37" s="27" t="s">
        <v>451</v>
      </c>
      <c r="L37" s="32" t="s">
        <v>60</v>
      </c>
    </row>
    <row r="38" customFormat="false" ht="35.05" hidden="false" customHeight="false" outlineLevel="0" collapsed="false">
      <c r="A38" s="25" t="s">
        <v>147</v>
      </c>
      <c r="B38" s="26" t="s">
        <v>144</v>
      </c>
      <c r="C38" s="27" t="s">
        <v>148</v>
      </c>
      <c r="D38" s="27" t="s">
        <v>452</v>
      </c>
      <c r="E38" s="27" t="s">
        <v>453</v>
      </c>
      <c r="F38" s="30" t="n">
        <v>6</v>
      </c>
      <c r="G38" s="26" t="s">
        <v>58</v>
      </c>
      <c r="H38" s="28" t="str">
        <f aca="false">INDEX(Prix!$C$5:$C$79,MATCH($A38,Prix!$A$5:$A$79,0))</f>
        <v>MicroPlanet</v>
      </c>
      <c r="I38" s="67" t="n">
        <f aca="false">IFERROR(INDEX(Prix!$G$5:$G$79,MATCH($A38,Prix!$A$5:$A$79,0)),"")</f>
        <v>3</v>
      </c>
      <c r="J38" s="31" t="n">
        <f aca="false">IF(I38="","",F38*I38)</f>
        <v>18</v>
      </c>
      <c r="K38" s="27"/>
      <c r="L38" s="32" t="s">
        <v>60</v>
      </c>
    </row>
    <row r="39" customFormat="false" ht="23.85" hidden="false" customHeight="false" outlineLevel="0" collapsed="false">
      <c r="A39" s="25" t="s">
        <v>153</v>
      </c>
      <c r="B39" s="26" t="s">
        <v>144</v>
      </c>
      <c r="C39" s="27" t="s">
        <v>154</v>
      </c>
      <c r="D39" s="27" t="s">
        <v>380</v>
      </c>
      <c r="E39" s="27" t="s">
        <v>381</v>
      </c>
      <c r="F39" s="30" t="n">
        <v>2</v>
      </c>
      <c r="G39" s="26" t="s">
        <v>58</v>
      </c>
      <c r="H39" s="28" t="str">
        <f aca="false">INDEX(Prix!$C$5:$C$79,MATCH($A39,Prix!$A$5:$A$79,0))</f>
        <v>Moussasoft</v>
      </c>
      <c r="I39" s="67" t="n">
        <f aca="false">IFERROR(INDEX(Prix!$G$5:$G$79,MATCH($A39,Prix!$A$5:$A$79,0)),"")</f>
        <v>5</v>
      </c>
      <c r="J39" s="31" t="n">
        <f aca="false">IF(I39="","",F39*I39)</f>
        <v>10</v>
      </c>
      <c r="K39" s="27" t="s">
        <v>382</v>
      </c>
      <c r="L39" s="32" t="s">
        <v>60</v>
      </c>
    </row>
    <row r="40" customFormat="false" ht="46.25" hidden="false" customHeight="false" outlineLevel="0" collapsed="false">
      <c r="A40" s="25" t="s">
        <v>156</v>
      </c>
      <c r="B40" s="26" t="s">
        <v>144</v>
      </c>
      <c r="C40" s="27" t="s">
        <v>157</v>
      </c>
      <c r="D40" s="27" t="s">
        <v>454</v>
      </c>
      <c r="E40" s="27" t="s">
        <v>455</v>
      </c>
      <c r="F40" s="30" t="n">
        <v>2</v>
      </c>
      <c r="G40" s="26" t="s">
        <v>58</v>
      </c>
      <c r="H40" s="28" t="str">
        <f aca="false">INDEX(Prix!$C$5:$C$79,MATCH($A40,Prix!$A$5:$A$79,0))</f>
        <v>Moussasoft</v>
      </c>
      <c r="I40" s="67" t="n">
        <f aca="false">IFERROR(INDEX(Prix!$G$5:$G$79,MATCH($A40,Prix!$A$5:$A$79,0)),"")</f>
        <v>4</v>
      </c>
      <c r="J40" s="31" t="n">
        <f aca="false">IF(I40="","",F40*I40)</f>
        <v>8</v>
      </c>
      <c r="K40" s="27" t="s">
        <v>456</v>
      </c>
      <c r="L40" s="32" t="s">
        <v>60</v>
      </c>
    </row>
    <row r="41" customFormat="false" ht="23.85" hidden="false" customHeight="false" outlineLevel="0" collapsed="false">
      <c r="A41" s="25" t="s">
        <v>158</v>
      </c>
      <c r="B41" s="26" t="s">
        <v>144</v>
      </c>
      <c r="C41" s="27" t="s">
        <v>159</v>
      </c>
      <c r="D41" s="27" t="s">
        <v>386</v>
      </c>
      <c r="E41" s="27" t="s">
        <v>387</v>
      </c>
      <c r="F41" s="30" t="n">
        <v>5</v>
      </c>
      <c r="G41" s="26" t="s">
        <v>58</v>
      </c>
      <c r="H41" s="28" t="str">
        <f aca="false">INDEX(Prix!$C$5:$C$79,MATCH($A41,Prix!$A$5:$A$79,0))</f>
        <v>Shop4Makers</v>
      </c>
      <c r="I41" s="67" t="n">
        <f aca="false">IFERROR(INDEX(Prix!$G$5:$G$79,MATCH($A41,Prix!$A$5:$A$79,0)),"")</f>
        <v>0.5</v>
      </c>
      <c r="J41" s="31" t="n">
        <f aca="false">IF(I41="","",F41*I41)</f>
        <v>2.5</v>
      </c>
      <c r="K41" s="27" t="s">
        <v>457</v>
      </c>
      <c r="L41" s="32" t="s">
        <v>60</v>
      </c>
    </row>
    <row r="42" customFormat="false" ht="23.85" hidden="false" customHeight="false" outlineLevel="0" collapsed="false">
      <c r="A42" s="25" t="s">
        <v>161</v>
      </c>
      <c r="B42" s="26" t="s">
        <v>144</v>
      </c>
      <c r="C42" s="27" t="s">
        <v>162</v>
      </c>
      <c r="D42" s="27" t="s">
        <v>458</v>
      </c>
      <c r="E42" s="27" t="s">
        <v>459</v>
      </c>
      <c r="F42" s="30" t="n">
        <v>1</v>
      </c>
      <c r="G42" s="26" t="s">
        <v>58</v>
      </c>
      <c r="H42" s="28" t="str">
        <f aca="false">INDEX(Prix!$C$5:$C$79,MATCH($A42,Prix!$A$5:$A$79,0))</f>
        <v>ShoppingMaroc</v>
      </c>
      <c r="I42" s="67" t="n">
        <f aca="false">IFERROR(INDEX(Prix!$G$5:$G$79,MATCH($A42,Prix!$A$5:$A$79,0)),"")</f>
        <v>4</v>
      </c>
      <c r="J42" s="31" t="n">
        <f aca="false">IF(I42="","",F42*I42)</f>
        <v>4</v>
      </c>
      <c r="K42" s="27"/>
      <c r="L42" s="32" t="s">
        <v>60</v>
      </c>
    </row>
    <row r="43" customFormat="false" ht="23.85" hidden="false" customHeight="false" outlineLevel="0" collapsed="false">
      <c r="A43" s="25" t="s">
        <v>164</v>
      </c>
      <c r="B43" s="26" t="s">
        <v>144</v>
      </c>
      <c r="C43" s="27" t="s">
        <v>165</v>
      </c>
      <c r="D43" s="27" t="s">
        <v>389</v>
      </c>
      <c r="E43" s="27" t="s">
        <v>390</v>
      </c>
      <c r="F43" s="30" t="n">
        <v>1</v>
      </c>
      <c r="G43" s="26" t="s">
        <v>58</v>
      </c>
      <c r="H43" s="28" t="str">
        <f aca="false">INDEX(Prix!$C$5:$C$79,MATCH($A43,Prix!$A$5:$A$79,0))</f>
        <v>—</v>
      </c>
      <c r="I43" s="67" t="n">
        <f aca="false">IFERROR(INDEX(Prix!$G$5:$G$79,MATCH($A43,Prix!$A$5:$A$79,0)),"")</f>
        <v>0</v>
      </c>
      <c r="J43" s="31" t="n">
        <f aca="false">IF(I43="","",F43*I43)</f>
        <v>0</v>
      </c>
      <c r="K43" s="72" t="s">
        <v>391</v>
      </c>
      <c r="L43" s="26"/>
    </row>
    <row r="44" customFormat="false" ht="23.85" hidden="false" customHeight="false" outlineLevel="0" collapsed="false">
      <c r="A44" s="25" t="s">
        <v>167</v>
      </c>
      <c r="B44" s="26" t="s">
        <v>144</v>
      </c>
      <c r="C44" s="27" t="s">
        <v>168</v>
      </c>
      <c r="D44" s="27" t="s">
        <v>392</v>
      </c>
      <c r="E44" s="27" t="s">
        <v>393</v>
      </c>
      <c r="F44" s="30" t="n">
        <v>4</v>
      </c>
      <c r="G44" s="26" t="s">
        <v>58</v>
      </c>
      <c r="H44" s="28" t="str">
        <f aca="false">INDEX(Prix!$C$5:$C$79,MATCH($A44,Prix!$A$5:$A$79,0))</f>
        <v>—</v>
      </c>
      <c r="I44" s="67" t="n">
        <f aca="false">IFERROR(INDEX(Prix!$G$5:$G$79,MATCH($A44,Prix!$A$5:$A$79,0)),"")</f>
        <v>0</v>
      </c>
      <c r="J44" s="31" t="n">
        <f aca="false">IF(I44="","",F44*I44)</f>
        <v>0</v>
      </c>
      <c r="K44" s="27"/>
      <c r="L44" s="26"/>
    </row>
    <row r="45" customFormat="false" ht="15" hidden="false" customHeight="false" outlineLevel="0" collapsed="false">
      <c r="A45" s="17" t="s">
        <v>170</v>
      </c>
      <c r="B45" s="18" t="s">
        <v>171</v>
      </c>
      <c r="C45" s="19" t="s">
        <v>172</v>
      </c>
      <c r="D45" s="19" t="s">
        <v>394</v>
      </c>
      <c r="E45" s="19" t="s">
        <v>460</v>
      </c>
      <c r="F45" s="22" t="n">
        <v>1</v>
      </c>
      <c r="G45" s="18" t="s">
        <v>58</v>
      </c>
      <c r="H45" s="20" t="str">
        <f aca="false">INDEX(Prix!$C$5:$C$79,MATCH($A45,Prix!$A$5:$A$79,0))</f>
        <v>Shop4Makers</v>
      </c>
      <c r="I45" s="66" t="n">
        <f aca="false">IFERROR(INDEX(Prix!$G$5:$G$79,MATCH($A45,Prix!$A$5:$A$79,0)),"")</f>
        <v>16.2</v>
      </c>
      <c r="J45" s="23" t="n">
        <f aca="false">IF(I45="","",F45*I45)</f>
        <v>16.2</v>
      </c>
      <c r="K45" s="19" t="s">
        <v>461</v>
      </c>
      <c r="L45" s="24" t="s">
        <v>60</v>
      </c>
    </row>
    <row r="46" customFormat="false" ht="23.85" hidden="false" customHeight="false" outlineLevel="0" collapsed="false">
      <c r="A46" s="41" t="s">
        <v>174</v>
      </c>
      <c r="B46" s="42" t="s">
        <v>171</v>
      </c>
      <c r="C46" s="43" t="s">
        <v>175</v>
      </c>
      <c r="D46" s="43" t="s">
        <v>394</v>
      </c>
      <c r="E46" s="43" t="s">
        <v>462</v>
      </c>
      <c r="F46" s="46" t="n">
        <v>1</v>
      </c>
      <c r="G46" s="42" t="s">
        <v>176</v>
      </c>
      <c r="H46" s="44" t="str">
        <f aca="false">INDEX(Prix!$C$5:$C$79,MATCH($A46,Prix!$A$5:$A$79,0))</f>
        <v>Shop4Makers</v>
      </c>
      <c r="I46" s="70" t="n">
        <f aca="false">IFERROR(INDEX(Prix!$G$5:$G$79,MATCH($A46,Prix!$A$5:$A$79,0)),"")</f>
        <v>85</v>
      </c>
      <c r="J46" s="47" t="n">
        <f aca="false">IF(I46="","",F46*I46)</f>
        <v>85</v>
      </c>
      <c r="K46" s="43" t="s">
        <v>463</v>
      </c>
      <c r="L46" s="48" t="s">
        <v>60</v>
      </c>
    </row>
    <row r="47" customFormat="false" ht="15" hidden="false" customHeight="false" outlineLevel="0" collapsed="false">
      <c r="A47" s="17" t="s">
        <v>181</v>
      </c>
      <c r="B47" s="18" t="s">
        <v>171</v>
      </c>
      <c r="C47" s="19" t="s">
        <v>182</v>
      </c>
      <c r="D47" s="19" t="s">
        <v>394</v>
      </c>
      <c r="E47" s="19" t="s">
        <v>464</v>
      </c>
      <c r="F47" s="22" t="n">
        <v>1</v>
      </c>
      <c r="G47" s="18" t="s">
        <v>58</v>
      </c>
      <c r="H47" s="20" t="str">
        <f aca="false">INDEX(Prix!$C$5:$C$79,MATCH($A47,Prix!$A$5:$A$79,0))</f>
        <v>Moussasoft</v>
      </c>
      <c r="I47" s="66" t="n">
        <f aca="false">IFERROR(INDEX(Prix!$G$5:$G$79,MATCH($A47,Prix!$A$5:$A$79,0)),"")</f>
        <v>2</v>
      </c>
      <c r="J47" s="23" t="n">
        <f aca="false">IF(I47="","",F47*I47)</f>
        <v>2</v>
      </c>
      <c r="K47" s="19" t="s">
        <v>465</v>
      </c>
      <c r="L47" s="24" t="s">
        <v>60</v>
      </c>
    </row>
    <row r="48" customFormat="false" ht="23.85" hidden="false" customHeight="false" outlineLevel="0" collapsed="false">
      <c r="A48" s="17" t="s">
        <v>187</v>
      </c>
      <c r="B48" s="18" t="s">
        <v>171</v>
      </c>
      <c r="C48" s="19" t="s">
        <v>188</v>
      </c>
      <c r="D48" s="19" t="s">
        <v>394</v>
      </c>
      <c r="E48" s="19" t="s">
        <v>466</v>
      </c>
      <c r="F48" s="22" t="n">
        <v>4</v>
      </c>
      <c r="G48" s="18" t="s">
        <v>58</v>
      </c>
      <c r="H48" s="20" t="str">
        <f aca="false">INDEX(Prix!$C$5:$C$79,MATCH($A48,Prix!$A$5:$A$79,0))</f>
        <v>Shop4Makers</v>
      </c>
      <c r="I48" s="66" t="n">
        <f aca="false">IFERROR(INDEX(Prix!$G$5:$G$79,MATCH($A48,Prix!$A$5:$A$79,0)),"")</f>
        <v>35</v>
      </c>
      <c r="J48" s="23" t="n">
        <f aca="false">IF(I48="","",F48*I48)</f>
        <v>140</v>
      </c>
      <c r="K48" s="19" t="s">
        <v>467</v>
      </c>
      <c r="L48" s="24" t="s">
        <v>60</v>
      </c>
    </row>
    <row r="49" customFormat="false" ht="15" hidden="false" customHeight="false" outlineLevel="0" collapsed="false">
      <c r="A49" s="17" t="s">
        <v>195</v>
      </c>
      <c r="B49" s="18" t="s">
        <v>171</v>
      </c>
      <c r="C49" s="19" t="s">
        <v>196</v>
      </c>
      <c r="D49" s="19" t="s">
        <v>394</v>
      </c>
      <c r="E49" s="19" t="s">
        <v>409</v>
      </c>
      <c r="F49" s="22" t="n">
        <v>1</v>
      </c>
      <c r="G49" s="18" t="s">
        <v>58</v>
      </c>
      <c r="H49" s="20" t="str">
        <f aca="false">INDEX(Prix!$C$5:$C$79,MATCH($A49,Prix!$A$5:$A$79,0))</f>
        <v>Shop4Makers</v>
      </c>
      <c r="I49" s="66" t="n">
        <f aca="false">IFERROR(INDEX(Prix!$G$5:$G$79,MATCH($A49,Prix!$A$5:$A$79,0)),"")</f>
        <v>70</v>
      </c>
      <c r="J49" s="23" t="n">
        <f aca="false">IF(I49="","",F49*I49)</f>
        <v>70</v>
      </c>
      <c r="K49" s="19"/>
      <c r="L49" s="24" t="s">
        <v>60</v>
      </c>
    </row>
    <row r="50" customFormat="false" ht="23.85" hidden="false" customHeight="false" outlineLevel="0" collapsed="false">
      <c r="A50" s="17" t="s">
        <v>209</v>
      </c>
      <c r="B50" s="18" t="s">
        <v>171</v>
      </c>
      <c r="C50" s="19" t="s">
        <v>210</v>
      </c>
      <c r="D50" s="19" t="s">
        <v>394</v>
      </c>
      <c r="E50" s="19" t="s">
        <v>468</v>
      </c>
      <c r="F50" s="22" t="n">
        <v>1</v>
      </c>
      <c r="G50" s="18" t="s">
        <v>58</v>
      </c>
      <c r="H50" s="20" t="str">
        <f aca="false">INDEX(Prix!$C$5:$C$79,MATCH($A50,Prix!$A$5:$A$79,0))</f>
        <v>Shop4Makers</v>
      </c>
      <c r="I50" s="66" t="n">
        <f aca="false">IFERROR(INDEX(Prix!$G$5:$G$79,MATCH($A50,Prix!$A$5:$A$79,0)),"")</f>
        <v>0.9</v>
      </c>
      <c r="J50" s="23" t="n">
        <f aca="false">IF(I50="","",F50*I50)</f>
        <v>0.9</v>
      </c>
      <c r="K50" s="19" t="s">
        <v>469</v>
      </c>
      <c r="L50" s="24" t="s">
        <v>60</v>
      </c>
    </row>
    <row r="51" customFormat="false" ht="15" hidden="false" customHeight="false" outlineLevel="0" collapsed="false">
      <c r="A51" s="25" t="s">
        <v>226</v>
      </c>
      <c r="B51" s="26" t="s">
        <v>212</v>
      </c>
      <c r="C51" s="27" t="s">
        <v>227</v>
      </c>
      <c r="D51" s="27" t="s">
        <v>394</v>
      </c>
      <c r="E51" s="27" t="s">
        <v>470</v>
      </c>
      <c r="F51" s="30" t="n">
        <v>1</v>
      </c>
      <c r="G51" s="26" t="s">
        <v>58</v>
      </c>
      <c r="H51" s="28" t="str">
        <f aca="false">INDEX(Prix!$C$5:$C$79,MATCH($A51,Prix!$A$5:$A$79,0))</f>
        <v>Megma</v>
      </c>
      <c r="I51" s="67" t="n">
        <f aca="false">IFERROR(INDEX(Prix!$G$5:$G$79,MATCH($A51,Prix!$A$5:$A$79,0)),"")</f>
        <v>50</v>
      </c>
      <c r="J51" s="31" t="n">
        <f aca="false">IF(I51="","",F51*I51)</f>
        <v>50</v>
      </c>
      <c r="K51" s="27" t="s">
        <v>471</v>
      </c>
      <c r="L51" s="32" t="s">
        <v>60</v>
      </c>
    </row>
    <row r="52" customFormat="false" ht="15" hidden="false" customHeight="false" outlineLevel="0" collapsed="false">
      <c r="A52" s="25" t="s">
        <v>229</v>
      </c>
      <c r="B52" s="26" t="s">
        <v>212</v>
      </c>
      <c r="C52" s="27" t="s">
        <v>230</v>
      </c>
      <c r="D52" s="27" t="s">
        <v>394</v>
      </c>
      <c r="E52" s="27" t="s">
        <v>472</v>
      </c>
      <c r="F52" s="30" t="n">
        <v>1</v>
      </c>
      <c r="G52" s="26" t="s">
        <v>58</v>
      </c>
      <c r="H52" s="28" t="str">
        <f aca="false">INDEX(Prix!$C$5:$C$79,MATCH($A52,Prix!$A$5:$A$79,0))</f>
        <v>Moussasoft</v>
      </c>
      <c r="I52" s="67" t="n">
        <f aca="false">IFERROR(INDEX(Prix!$G$5:$G$79,MATCH($A52,Prix!$A$5:$A$79,0)),"")</f>
        <v>35</v>
      </c>
      <c r="J52" s="31" t="n">
        <f aca="false">IF(I52="","",F52*I52)</f>
        <v>35</v>
      </c>
      <c r="K52" s="27" t="s">
        <v>473</v>
      </c>
      <c r="L52" s="32" t="s">
        <v>60</v>
      </c>
    </row>
    <row r="53" customFormat="false" ht="23.85" hidden="false" customHeight="false" outlineLevel="0" collapsed="false">
      <c r="A53" s="17" t="s">
        <v>250</v>
      </c>
      <c r="B53" s="18" t="s">
        <v>251</v>
      </c>
      <c r="C53" s="19" t="s">
        <v>252</v>
      </c>
      <c r="D53" s="19" t="s">
        <v>421</v>
      </c>
      <c r="E53" s="19" t="s">
        <v>422</v>
      </c>
      <c r="F53" s="22" t="n">
        <v>7</v>
      </c>
      <c r="G53" s="18" t="s">
        <v>58</v>
      </c>
      <c r="H53" s="20" t="str">
        <f aca="false">INDEX(Prix!$C$5:$C$79,MATCH($A53,Prix!$A$5:$A$79,0))</f>
        <v>Dsindustrie</v>
      </c>
      <c r="I53" s="66" t="n">
        <f aca="false">IFERROR(INDEX(Prix!$G$5:$G$79,MATCH($A53,Prix!$A$5:$A$79,0)),"")</f>
        <v>2</v>
      </c>
      <c r="J53" s="23" t="n">
        <f aca="false">IF(I53="","",F53*I53)</f>
        <v>14</v>
      </c>
      <c r="K53" s="19"/>
      <c r="L53" s="24" t="s">
        <v>60</v>
      </c>
    </row>
    <row r="54" customFormat="false" ht="15" hidden="false" customHeight="false" outlineLevel="0" collapsed="false">
      <c r="A54" s="17" t="s">
        <v>254</v>
      </c>
      <c r="B54" s="18" t="s">
        <v>251</v>
      </c>
      <c r="C54" s="19" t="s">
        <v>255</v>
      </c>
      <c r="D54" s="19" t="s">
        <v>423</v>
      </c>
      <c r="E54" s="19" t="s">
        <v>424</v>
      </c>
      <c r="F54" s="22" t="n">
        <v>7</v>
      </c>
      <c r="G54" s="18" t="s">
        <v>58</v>
      </c>
      <c r="H54" s="20" t="str">
        <f aca="false">INDEX(Prix!$C$5:$C$79,MATCH($A54,Prix!$A$5:$A$79,0))</f>
        <v>Dsindustrie</v>
      </c>
      <c r="I54" s="66" t="n">
        <f aca="false">IFERROR(INDEX(Prix!$G$5:$G$79,MATCH($A54,Prix!$A$5:$A$79,0)),"")</f>
        <v>0</v>
      </c>
      <c r="J54" s="23" t="n">
        <f aca="false">IF(I54="","",F54*I54)</f>
        <v>0</v>
      </c>
      <c r="K54" s="19"/>
      <c r="L54" s="18"/>
    </row>
    <row r="55" customFormat="false" ht="23.85" hidden="false" customHeight="false" outlineLevel="0" collapsed="false">
      <c r="A55" s="17" t="s">
        <v>257</v>
      </c>
      <c r="B55" s="18" t="s">
        <v>251</v>
      </c>
      <c r="C55" s="19" t="s">
        <v>258</v>
      </c>
      <c r="D55" s="19" t="s">
        <v>394</v>
      </c>
      <c r="E55" s="19" t="s">
        <v>474</v>
      </c>
      <c r="F55" s="22" t="n">
        <v>1</v>
      </c>
      <c r="G55" s="18" t="s">
        <v>58</v>
      </c>
      <c r="H55" s="20" t="str">
        <f aca="false">INDEX(Prix!$C$5:$C$79,MATCH($A55,Prix!$A$5:$A$79,0))</f>
        <v>EnergyMarket</v>
      </c>
      <c r="I55" s="66" t="n">
        <f aca="false">IFERROR(INDEX(Prix!$G$5:$G$79,MATCH($A55,Prix!$A$5:$A$79,0)),"")</f>
        <v>352</v>
      </c>
      <c r="J55" s="23" t="n">
        <f aca="false">IF(I55="","",F55*I55)</f>
        <v>352</v>
      </c>
      <c r="K55" s="19"/>
      <c r="L55" s="24" t="s">
        <v>60</v>
      </c>
    </row>
    <row r="56" customFormat="false" ht="15" hidden="false" customHeight="false" outlineLevel="0" collapsed="false">
      <c r="A56" s="17" t="s">
        <v>260</v>
      </c>
      <c r="B56" s="18" t="s">
        <v>251</v>
      </c>
      <c r="C56" s="19" t="s">
        <v>261</v>
      </c>
      <c r="D56" s="19" t="s">
        <v>394</v>
      </c>
      <c r="E56" s="19" t="s">
        <v>475</v>
      </c>
      <c r="F56" s="22" t="n">
        <v>6</v>
      </c>
      <c r="G56" s="18" t="s">
        <v>58</v>
      </c>
      <c r="H56" s="20" t="str">
        <f aca="false">INDEX(Prix!$C$5:$C$79,MATCH($A56,Prix!$A$5:$A$79,0))</f>
        <v>Quincaillerie</v>
      </c>
      <c r="I56" s="66" t="str">
        <f aca="false">IFERROR(INDEX(Prix!$G$5:$G$79,MATCH($A56,Prix!$A$5:$A$79,0)),"")</f>
        <v/>
      </c>
      <c r="J56" s="23" t="str">
        <f aca="false">IF(I56="","",F56*I56)</f>
        <v/>
      </c>
      <c r="K56" s="19"/>
      <c r="L56" s="18"/>
    </row>
    <row r="57" customFormat="false" ht="15" hidden="false" customHeight="false" outlineLevel="0" collapsed="false">
      <c r="A57" s="17" t="s">
        <v>263</v>
      </c>
      <c r="B57" s="18" t="s">
        <v>251</v>
      </c>
      <c r="C57" s="19" t="s">
        <v>264</v>
      </c>
      <c r="D57" s="19" t="s">
        <v>394</v>
      </c>
      <c r="E57" s="19" t="s">
        <v>429</v>
      </c>
      <c r="F57" s="22" t="n">
        <v>5</v>
      </c>
      <c r="G57" s="18" t="s">
        <v>58</v>
      </c>
      <c r="H57" s="20" t="str">
        <f aca="false">INDEX(Prix!$C$5:$C$79,MATCH($A57,Prix!$A$5:$A$79,0))</f>
        <v>ElectroDelivery</v>
      </c>
      <c r="I57" s="66" t="n">
        <f aca="false">IFERROR(INDEX(Prix!$G$5:$G$79,MATCH($A57,Prix!$A$5:$A$79,0)),"")</f>
        <v>3.5</v>
      </c>
      <c r="J57" s="23" t="n">
        <f aca="false">IF(I57="","",F57*I57)</f>
        <v>17.5</v>
      </c>
      <c r="K57" s="19" t="s">
        <v>430</v>
      </c>
      <c r="L57" s="24" t="s">
        <v>60</v>
      </c>
    </row>
  </sheetData>
  <autoFilter ref="A17:L57"/>
  <mergeCells count="5">
    <mergeCell ref="B5:K5"/>
    <mergeCell ref="B6:K6"/>
    <mergeCell ref="B7:K7"/>
    <mergeCell ref="B8:K8"/>
    <mergeCell ref="B9:K9"/>
  </mergeCells>
  <hyperlinks>
    <hyperlink ref="L18" r:id="rId1" display="lien"/>
    <hyperlink ref="L19" r:id="rId2" display="lien"/>
    <hyperlink ref="L20" r:id="rId3" display="lien"/>
    <hyperlink ref="L21" r:id="rId4" display="lien"/>
    <hyperlink ref="L22" r:id="rId5" display="lien"/>
    <hyperlink ref="L23" r:id="rId6" display="lien"/>
    <hyperlink ref="L24" r:id="rId7" display="lien"/>
    <hyperlink ref="L25" r:id="rId8" display="lien"/>
    <hyperlink ref="L26" r:id="rId9" display="lien"/>
    <hyperlink ref="L27" r:id="rId10" display="lien"/>
    <hyperlink ref="L28" r:id="rId11" display="lien"/>
    <hyperlink ref="L29" r:id="rId12" display="lien"/>
    <hyperlink ref="L30" r:id="rId13" display="lien"/>
    <hyperlink ref="L31" r:id="rId14" display="lien"/>
    <hyperlink ref="L32" r:id="rId15" display="lien"/>
    <hyperlink ref="L33" r:id="rId16" display="lien"/>
    <hyperlink ref="L34" r:id="rId17" display="lien"/>
    <hyperlink ref="L35" r:id="rId18" display="lien"/>
    <hyperlink ref="L36" r:id="rId19" display="lien"/>
    <hyperlink ref="L37" r:id="rId20" display="lien"/>
    <hyperlink ref="L38" r:id="rId21" display="lien"/>
    <hyperlink ref="L39" r:id="rId22" display="lien"/>
    <hyperlink ref="L40" r:id="rId23" display="lien"/>
    <hyperlink ref="L41" r:id="rId24" display="lien"/>
    <hyperlink ref="L42" r:id="rId25" display="lien"/>
    <hyperlink ref="L45" r:id="rId26" display="lien"/>
    <hyperlink ref="L46" r:id="rId27" display="lien"/>
    <hyperlink ref="L47" r:id="rId28" display="lien"/>
    <hyperlink ref="L48" r:id="rId29" display="lien"/>
    <hyperlink ref="L49" r:id="rId30" display="lien"/>
    <hyperlink ref="L50" r:id="rId31" display="lien"/>
    <hyperlink ref="L51" r:id="rId32" display="lien"/>
    <hyperlink ref="L52" r:id="rId33" display="lien"/>
    <hyperlink ref="L53" r:id="rId34" display="lien"/>
    <hyperlink ref="L55" r:id="rId35" display="lien"/>
    <hyperlink ref="L57" r:id="rId36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7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58"/>
    <col collapsed="false" customWidth="true" hidden="false" outlineLevel="0" max="12" min="12" style="0" width="6"/>
  </cols>
  <sheetData>
    <row r="1" customFormat="false" ht="17.35" hidden="false" customHeight="false" outlineLevel="0" collapsed="false">
      <c r="A1" s="7" t="s">
        <v>476</v>
      </c>
    </row>
    <row r="2" customFormat="false" ht="15" hidden="false" customHeight="false" outlineLevel="0" collapsed="false">
      <c r="A2" s="8" t="s">
        <v>322</v>
      </c>
    </row>
    <row r="4" customFormat="false" ht="15" hidden="false" customHeight="false" outlineLevel="0" collapsed="false">
      <c r="A4" s="13" t="s">
        <v>323</v>
      </c>
    </row>
    <row r="5" customFormat="false" ht="15" hidden="false" customHeight="true" outlineLevel="0" collapsed="false">
      <c r="B5" s="65" t="s">
        <v>477</v>
      </c>
      <c r="C5" s="65"/>
      <c r="D5" s="65"/>
      <c r="E5" s="65"/>
      <c r="F5" s="65"/>
      <c r="G5" s="65"/>
      <c r="H5" s="65"/>
      <c r="I5" s="65"/>
      <c r="J5" s="65"/>
      <c r="K5" s="65"/>
    </row>
    <row r="6" customFormat="false" ht="27" hidden="false" customHeight="true" outlineLevel="0" collapsed="false">
      <c r="B6" s="65" t="s">
        <v>478</v>
      </c>
      <c r="C6" s="65"/>
      <c r="D6" s="65"/>
      <c r="E6" s="65"/>
      <c r="F6" s="65"/>
      <c r="G6" s="65"/>
      <c r="H6" s="65"/>
      <c r="I6" s="65"/>
      <c r="J6" s="65"/>
      <c r="K6" s="65"/>
    </row>
    <row r="7" customFormat="false" ht="15" hidden="false" customHeight="true" outlineLevel="0" collapsed="false">
      <c r="B7" s="65" t="s">
        <v>479</v>
      </c>
      <c r="C7" s="65"/>
      <c r="D7" s="65"/>
      <c r="E7" s="65"/>
      <c r="F7" s="65"/>
      <c r="G7" s="65"/>
      <c r="H7" s="65"/>
      <c r="I7" s="65"/>
      <c r="J7" s="65"/>
      <c r="K7" s="65"/>
    </row>
    <row r="8" customFormat="false" ht="15" hidden="false" customHeight="true" outlineLevel="0" collapsed="false">
      <c r="B8" s="65" t="s">
        <v>480</v>
      </c>
      <c r="C8" s="65"/>
      <c r="D8" s="65"/>
      <c r="E8" s="65"/>
      <c r="F8" s="65"/>
      <c r="G8" s="65"/>
      <c r="H8" s="65"/>
      <c r="I8" s="65"/>
      <c r="J8" s="65"/>
      <c r="K8" s="65"/>
    </row>
    <row r="9" customFormat="false" ht="15" hidden="false" customHeight="true" outlineLevel="0" collapsed="false">
      <c r="B9" s="65" t="s">
        <v>481</v>
      </c>
      <c r="C9" s="65"/>
      <c r="D9" s="65"/>
      <c r="E9" s="65"/>
      <c r="F9" s="65"/>
      <c r="G9" s="65"/>
      <c r="H9" s="65"/>
      <c r="I9" s="65"/>
      <c r="J9" s="65"/>
      <c r="K9" s="65"/>
    </row>
    <row r="11" customFormat="false" ht="15" hidden="false" customHeight="false" outlineLevel="0" collapsed="false">
      <c r="C11" s="9" t="s">
        <v>329</v>
      </c>
      <c r="D11" s="10"/>
      <c r="E11" s="10"/>
      <c r="F11" s="10"/>
      <c r="G11" s="10"/>
      <c r="H11" s="10"/>
      <c r="I11" s="10"/>
      <c r="J11" s="11" t="n">
        <f aca="false">SUMIFS(J18:J66,G18:G66,"À acheter")</f>
        <v>1199.6</v>
      </c>
    </row>
    <row r="12" customFormat="false" ht="15" hidden="false" customHeight="false" outlineLevel="0" collapsed="false">
      <c r="C12" s="9" t="s">
        <v>39</v>
      </c>
      <c r="D12" s="10"/>
      <c r="E12" s="10"/>
      <c r="F12" s="10"/>
      <c r="G12" s="10"/>
      <c r="H12" s="10"/>
      <c r="I12" s="10"/>
      <c r="J12" s="11" t="n">
        <f aca="false">SUMIFS(J18:J66,G18:G66,"Option")</f>
        <v>18</v>
      </c>
    </row>
    <row r="13" customFormat="false" ht="15" hidden="false" customHeight="false" outlineLevel="0" collapsed="false">
      <c r="C13" s="9" t="s">
        <v>31</v>
      </c>
      <c r="D13" s="10"/>
      <c r="E13" s="10"/>
      <c r="F13" s="10"/>
      <c r="G13" s="10"/>
      <c r="H13" s="10"/>
      <c r="I13" s="10"/>
      <c r="J13" s="11" t="n">
        <f aca="false">SUMIFS(J18:J66,G18:G66,"Déjà possédé")</f>
        <v>0</v>
      </c>
    </row>
    <row r="14" customFormat="false" ht="15" hidden="false" customHeight="false" outlineLevel="0" collapsed="false">
      <c r="C14" s="9" t="s">
        <v>330</v>
      </c>
      <c r="D14" s="10"/>
      <c r="E14" s="10"/>
      <c r="F14" s="10"/>
      <c r="G14" s="10"/>
      <c r="H14" s="10"/>
      <c r="I14" s="10"/>
      <c r="J14" s="12" t="n">
        <f aca="false">SUMPRODUCT((G18:G66="À acheter")*(I18:I66=""))</f>
        <v>3</v>
      </c>
    </row>
    <row r="17" customFormat="false" ht="30" hidden="false" customHeight="true" outlineLevel="0" collapsed="false">
      <c r="A17" s="16" t="s">
        <v>40</v>
      </c>
      <c r="B17" s="16" t="s">
        <v>41</v>
      </c>
      <c r="C17" s="16" t="s">
        <v>42</v>
      </c>
      <c r="D17" s="16" t="s">
        <v>331</v>
      </c>
      <c r="E17" s="16" t="s">
        <v>332</v>
      </c>
      <c r="F17" s="16" t="s">
        <v>333</v>
      </c>
      <c r="G17" s="16" t="s">
        <v>43</v>
      </c>
      <c r="H17" s="16" t="s">
        <v>51</v>
      </c>
      <c r="I17" s="16" t="s">
        <v>283</v>
      </c>
      <c r="J17" s="16" t="s">
        <v>50</v>
      </c>
      <c r="K17" s="16" t="s">
        <v>334</v>
      </c>
      <c r="L17" s="16" t="s">
        <v>54</v>
      </c>
    </row>
    <row r="18" customFormat="false" ht="23.85" hidden="false" customHeight="false" outlineLevel="0" collapsed="false">
      <c r="A18" s="17" t="s">
        <v>55</v>
      </c>
      <c r="B18" s="18" t="s">
        <v>56</v>
      </c>
      <c r="C18" s="19" t="s">
        <v>57</v>
      </c>
      <c r="D18" s="19" t="s">
        <v>302</v>
      </c>
      <c r="E18" s="19" t="s">
        <v>335</v>
      </c>
      <c r="F18" s="22" t="n">
        <v>1</v>
      </c>
      <c r="G18" s="18" t="s">
        <v>58</v>
      </c>
      <c r="H18" s="20" t="str">
        <f aca="false">INDEX(Prix!$C$5:$C$79,MATCH($A18,Prix!$A$5:$A$79,0))</f>
        <v>JLCPCB</v>
      </c>
      <c r="I18" s="66" t="str">
        <f aca="false">IFERROR(INDEX(Prix!$G$5:$G$79,MATCH($A18,Prix!$A$5:$A$79,0)),"")</f>
        <v/>
      </c>
      <c r="J18" s="23" t="str">
        <f aca="false">IF(I18="","",F18*I18)</f>
        <v/>
      </c>
      <c r="K18" s="19"/>
      <c r="L18" s="24" t="s">
        <v>60</v>
      </c>
    </row>
    <row r="19" customFormat="false" ht="23.85" hidden="false" customHeight="false" outlineLevel="0" collapsed="false">
      <c r="A19" s="17" t="s">
        <v>61</v>
      </c>
      <c r="B19" s="18" t="s">
        <v>56</v>
      </c>
      <c r="C19" s="19" t="s">
        <v>62</v>
      </c>
      <c r="D19" s="19" t="s">
        <v>336</v>
      </c>
      <c r="E19" s="19" t="s">
        <v>337</v>
      </c>
      <c r="F19" s="22" t="n">
        <v>1</v>
      </c>
      <c r="G19" s="18" t="s">
        <v>58</v>
      </c>
      <c r="H19" s="20" t="str">
        <f aca="false">INDEX(Prix!$C$5:$C$79,MATCH($A19,Prix!$A$5:$A$79,0))</f>
        <v>Shop4Makers</v>
      </c>
      <c r="I19" s="66" t="n">
        <f aca="false">IFERROR(INDEX(Prix!$G$5:$G$79,MATCH($A19,Prix!$A$5:$A$79,0)),"")</f>
        <v>113</v>
      </c>
      <c r="J19" s="23" t="n">
        <f aca="false">IF(I19="","",F19*I19)</f>
        <v>113</v>
      </c>
      <c r="K19" s="19" t="s">
        <v>338</v>
      </c>
      <c r="L19" s="24" t="s">
        <v>60</v>
      </c>
    </row>
    <row r="20" customFormat="false" ht="15" hidden="false" customHeight="false" outlineLevel="0" collapsed="false">
      <c r="A20" s="25" t="s">
        <v>64</v>
      </c>
      <c r="B20" s="26" t="s">
        <v>65</v>
      </c>
      <c r="C20" s="27" t="s">
        <v>66</v>
      </c>
      <c r="D20" s="27" t="s">
        <v>339</v>
      </c>
      <c r="E20" s="27" t="s">
        <v>340</v>
      </c>
      <c r="F20" s="30" t="n">
        <v>2</v>
      </c>
      <c r="G20" s="26" t="s">
        <v>58</v>
      </c>
      <c r="H20" s="28" t="str">
        <f aca="false">INDEX(Prix!$C$5:$C$79,MATCH($A20,Prix!$A$5:$A$79,0))</f>
        <v>MicroPlanet</v>
      </c>
      <c r="I20" s="67" t="n">
        <f aca="false">IFERROR(INDEX(Prix!$G$5:$G$79,MATCH($A20,Prix!$A$5:$A$79,0)),"")</f>
        <v>0.3</v>
      </c>
      <c r="J20" s="31" t="n">
        <f aca="false">IF(I20="","",F20*I20)</f>
        <v>0.6</v>
      </c>
      <c r="K20" s="27"/>
      <c r="L20" s="32" t="s">
        <v>60</v>
      </c>
    </row>
    <row r="21" customFormat="false" ht="35.05" hidden="false" customHeight="false" outlineLevel="0" collapsed="false">
      <c r="A21" s="25" t="s">
        <v>68</v>
      </c>
      <c r="B21" s="26" t="s">
        <v>65</v>
      </c>
      <c r="C21" s="27" t="s">
        <v>69</v>
      </c>
      <c r="D21" s="27" t="s">
        <v>482</v>
      </c>
      <c r="E21" s="27" t="s">
        <v>483</v>
      </c>
      <c r="F21" s="30" t="n">
        <v>23</v>
      </c>
      <c r="G21" s="26" t="s">
        <v>58</v>
      </c>
      <c r="H21" s="28" t="str">
        <f aca="false">INDEX(Prix!$C$5:$C$79,MATCH($A21,Prix!$A$5:$A$79,0))</f>
        <v>MicroPlanet</v>
      </c>
      <c r="I21" s="67" t="n">
        <f aca="false">IFERROR(INDEX(Prix!$G$5:$G$79,MATCH($A21,Prix!$A$5:$A$79,0)),"")</f>
        <v>0.3</v>
      </c>
      <c r="J21" s="31" t="n">
        <f aca="false">IF(I21="","",F21*I21)</f>
        <v>6.9</v>
      </c>
      <c r="K21" s="27"/>
      <c r="L21" s="32" t="s">
        <v>60</v>
      </c>
    </row>
    <row r="22" customFormat="false" ht="23.85" hidden="false" customHeight="false" outlineLevel="0" collapsed="false">
      <c r="A22" s="25" t="s">
        <v>70</v>
      </c>
      <c r="B22" s="26" t="s">
        <v>65</v>
      </c>
      <c r="C22" s="27" t="s">
        <v>71</v>
      </c>
      <c r="D22" s="27" t="s">
        <v>484</v>
      </c>
      <c r="E22" s="27" t="s">
        <v>485</v>
      </c>
      <c r="F22" s="30" t="n">
        <v>3</v>
      </c>
      <c r="G22" s="26" t="s">
        <v>58</v>
      </c>
      <c r="H22" s="28" t="str">
        <f aca="false">INDEX(Prix!$C$5:$C$79,MATCH($A22,Prix!$A$5:$A$79,0))</f>
        <v>MicroPlanet</v>
      </c>
      <c r="I22" s="67" t="n">
        <f aca="false">IFERROR(INDEX(Prix!$G$5:$G$79,MATCH($A22,Prix!$A$5:$A$79,0)),"")</f>
        <v>0.3</v>
      </c>
      <c r="J22" s="31" t="n">
        <f aca="false">IF(I22="","",F22*I22)</f>
        <v>0.9</v>
      </c>
      <c r="K22" s="27" t="s">
        <v>486</v>
      </c>
      <c r="L22" s="32" t="s">
        <v>60</v>
      </c>
    </row>
    <row r="23" customFormat="false" ht="23.85" hidden="false" customHeight="false" outlineLevel="0" collapsed="false">
      <c r="A23" s="25" t="s">
        <v>72</v>
      </c>
      <c r="B23" s="26" t="s">
        <v>65</v>
      </c>
      <c r="C23" s="27" t="s">
        <v>73</v>
      </c>
      <c r="D23" s="27" t="s">
        <v>343</v>
      </c>
      <c r="E23" s="27" t="s">
        <v>344</v>
      </c>
      <c r="F23" s="30" t="n">
        <v>3</v>
      </c>
      <c r="G23" s="26" t="s">
        <v>58</v>
      </c>
      <c r="H23" s="28" t="str">
        <f aca="false">INDEX(Prix!$C$5:$C$79,MATCH($A23,Prix!$A$5:$A$79,0))</f>
        <v>MicroPlanet</v>
      </c>
      <c r="I23" s="67" t="n">
        <f aca="false">IFERROR(INDEX(Prix!$G$5:$G$79,MATCH($A23,Prix!$A$5:$A$79,0)),"")</f>
        <v>0.3</v>
      </c>
      <c r="J23" s="31" t="n">
        <f aca="false">IF(I23="","",F23*I23)</f>
        <v>0.9</v>
      </c>
      <c r="K23" s="27"/>
      <c r="L23" s="32" t="s">
        <v>60</v>
      </c>
    </row>
    <row r="24" customFormat="false" ht="23.85" hidden="false" customHeight="false" outlineLevel="0" collapsed="false">
      <c r="A24" s="25" t="s">
        <v>74</v>
      </c>
      <c r="B24" s="26" t="s">
        <v>65</v>
      </c>
      <c r="C24" s="27" t="s">
        <v>75</v>
      </c>
      <c r="D24" s="27" t="s">
        <v>487</v>
      </c>
      <c r="E24" s="27" t="s">
        <v>442</v>
      </c>
      <c r="F24" s="30" t="n">
        <v>9</v>
      </c>
      <c r="G24" s="26" t="s">
        <v>58</v>
      </c>
      <c r="H24" s="28" t="str">
        <f aca="false">INDEX(Prix!$C$5:$C$79,MATCH($A24,Prix!$A$5:$A$79,0))</f>
        <v>MicroPlanet</v>
      </c>
      <c r="I24" s="67" t="n">
        <f aca="false">IFERROR(INDEX(Prix!$G$5:$G$79,MATCH($A24,Prix!$A$5:$A$79,0)),"")</f>
        <v>0.3</v>
      </c>
      <c r="J24" s="31" t="n">
        <f aca="false">IF(I24="","",F24*I24)</f>
        <v>2.7</v>
      </c>
      <c r="K24" s="27"/>
      <c r="L24" s="32" t="s">
        <v>60</v>
      </c>
    </row>
    <row r="25" customFormat="false" ht="23.85" hidden="false" customHeight="false" outlineLevel="0" collapsed="false">
      <c r="A25" s="25" t="s">
        <v>78</v>
      </c>
      <c r="B25" s="26" t="s">
        <v>65</v>
      </c>
      <c r="C25" s="27" t="s">
        <v>79</v>
      </c>
      <c r="D25" s="27" t="s">
        <v>488</v>
      </c>
      <c r="E25" s="27" t="s">
        <v>489</v>
      </c>
      <c r="F25" s="30" t="n">
        <v>2</v>
      </c>
      <c r="G25" s="26" t="s">
        <v>58</v>
      </c>
      <c r="H25" s="28" t="str">
        <f aca="false">INDEX(Prix!$C$5:$C$79,MATCH($A25,Prix!$A$5:$A$79,0))</f>
        <v>MicroPlanet</v>
      </c>
      <c r="I25" s="67" t="n">
        <f aca="false">IFERROR(INDEX(Prix!$G$5:$G$79,MATCH($A25,Prix!$A$5:$A$79,0)),"")</f>
        <v>0.3</v>
      </c>
      <c r="J25" s="31" t="n">
        <f aca="false">IF(I25="","",F25*I25)</f>
        <v>0.6</v>
      </c>
      <c r="K25" s="27"/>
      <c r="L25" s="32" t="s">
        <v>60</v>
      </c>
    </row>
    <row r="26" customFormat="false" ht="23.85" hidden="false" customHeight="false" outlineLevel="0" collapsed="false">
      <c r="A26" s="17" t="s">
        <v>80</v>
      </c>
      <c r="B26" s="18" t="s">
        <v>81</v>
      </c>
      <c r="C26" s="19" t="s">
        <v>82</v>
      </c>
      <c r="D26" s="19" t="s">
        <v>490</v>
      </c>
      <c r="E26" s="19" t="s">
        <v>491</v>
      </c>
      <c r="F26" s="22" t="n">
        <v>3</v>
      </c>
      <c r="G26" s="18" t="s">
        <v>58</v>
      </c>
      <c r="H26" s="20" t="str">
        <f aca="false">INDEX(Prix!$C$5:$C$79,MATCH($A26,Prix!$A$5:$A$79,0))</f>
        <v>A2itronic</v>
      </c>
      <c r="I26" s="66" t="n">
        <f aca="false">IFERROR(INDEX(Prix!$G$5:$G$79,MATCH($A26,Prix!$A$5:$A$79,0)),"")</f>
        <v>0.5</v>
      </c>
      <c r="J26" s="23" t="n">
        <f aca="false">IF(I26="","",F26*I26)</f>
        <v>1.5</v>
      </c>
      <c r="K26" s="19"/>
      <c r="L26" s="24" t="s">
        <v>60</v>
      </c>
    </row>
    <row r="27" customFormat="false" ht="15" hidden="false" customHeight="false" outlineLevel="0" collapsed="false">
      <c r="A27" s="17" t="s">
        <v>84</v>
      </c>
      <c r="B27" s="18" t="s">
        <v>81</v>
      </c>
      <c r="C27" s="19" t="s">
        <v>85</v>
      </c>
      <c r="D27" s="19" t="s">
        <v>353</v>
      </c>
      <c r="E27" s="19" t="s">
        <v>354</v>
      </c>
      <c r="F27" s="22" t="n">
        <v>1</v>
      </c>
      <c r="G27" s="18" t="s">
        <v>58</v>
      </c>
      <c r="H27" s="20" t="str">
        <f aca="false">INDEX(Prix!$C$5:$C$79,MATCH($A27,Prix!$A$5:$A$79,0))</f>
        <v>A2itronic</v>
      </c>
      <c r="I27" s="66" t="n">
        <f aca="false">IFERROR(INDEX(Prix!$G$5:$G$79,MATCH($A27,Prix!$A$5:$A$79,0)),"")</f>
        <v>1</v>
      </c>
      <c r="J27" s="23" t="n">
        <f aca="false">IF(I27="","",F27*I27)</f>
        <v>1</v>
      </c>
      <c r="K27" s="19"/>
      <c r="L27" s="24" t="s">
        <v>60</v>
      </c>
    </row>
    <row r="28" customFormat="false" ht="15" hidden="false" customHeight="false" outlineLevel="0" collapsed="false">
      <c r="A28" s="17" t="s">
        <v>87</v>
      </c>
      <c r="B28" s="18" t="s">
        <v>81</v>
      </c>
      <c r="C28" s="19" t="s">
        <v>88</v>
      </c>
      <c r="D28" s="19" t="s">
        <v>355</v>
      </c>
      <c r="E28" s="19" t="s">
        <v>356</v>
      </c>
      <c r="F28" s="22" t="n">
        <v>1</v>
      </c>
      <c r="G28" s="18" t="s">
        <v>58</v>
      </c>
      <c r="H28" s="20" t="str">
        <f aca="false">INDEX(Prix!$C$5:$C$79,MATCH($A28,Prix!$A$5:$A$79,0))</f>
        <v>A2itronic</v>
      </c>
      <c r="I28" s="66" t="n">
        <f aca="false">IFERROR(INDEX(Prix!$G$5:$G$79,MATCH($A28,Prix!$A$5:$A$79,0)),"")</f>
        <v>1</v>
      </c>
      <c r="J28" s="23" t="n">
        <f aca="false">IF(I28="","",F28*I28)</f>
        <v>1</v>
      </c>
      <c r="K28" s="19"/>
      <c r="L28" s="24" t="s">
        <v>60</v>
      </c>
    </row>
    <row r="29" customFormat="false" ht="23.85" hidden="false" customHeight="false" outlineLevel="0" collapsed="false">
      <c r="A29" s="17" t="s">
        <v>90</v>
      </c>
      <c r="B29" s="18" t="s">
        <v>81</v>
      </c>
      <c r="C29" s="19" t="s">
        <v>91</v>
      </c>
      <c r="D29" s="19" t="s">
        <v>357</v>
      </c>
      <c r="E29" s="19" t="s">
        <v>358</v>
      </c>
      <c r="F29" s="22" t="n">
        <v>1</v>
      </c>
      <c r="G29" s="18" t="s">
        <v>58</v>
      </c>
      <c r="H29" s="20" t="str">
        <f aca="false">INDEX(Prix!$C$5:$C$79,MATCH($A29,Prix!$A$5:$A$79,0))</f>
        <v>A2itronic</v>
      </c>
      <c r="I29" s="66" t="n">
        <f aca="false">IFERROR(INDEX(Prix!$G$5:$G$79,MATCH($A29,Prix!$A$5:$A$79,0)),"")</f>
        <v>2</v>
      </c>
      <c r="J29" s="23" t="n">
        <f aca="false">IF(I29="","",F29*I29)</f>
        <v>2</v>
      </c>
      <c r="K29" s="19"/>
      <c r="L29" s="24" t="s">
        <v>60</v>
      </c>
    </row>
    <row r="30" customFormat="false" ht="23.85" hidden="false" customHeight="false" outlineLevel="0" collapsed="false">
      <c r="A30" s="17" t="s">
        <v>96</v>
      </c>
      <c r="B30" s="18" t="s">
        <v>81</v>
      </c>
      <c r="C30" s="19" t="s">
        <v>97</v>
      </c>
      <c r="D30" s="19" t="s">
        <v>359</v>
      </c>
      <c r="E30" s="19" t="s">
        <v>360</v>
      </c>
      <c r="F30" s="22" t="n">
        <v>1</v>
      </c>
      <c r="G30" s="18" t="s">
        <v>58</v>
      </c>
      <c r="H30" s="20" t="str">
        <f aca="false">INDEX(Prix!$C$5:$C$79,MATCH($A30,Prix!$A$5:$A$79,0))</f>
        <v>A2itronic</v>
      </c>
      <c r="I30" s="66" t="n">
        <f aca="false">IFERROR(INDEX(Prix!$G$5:$G$79,MATCH($A30,Prix!$A$5:$A$79,0)),"")</f>
        <v>3</v>
      </c>
      <c r="J30" s="23" t="n">
        <f aca="false">IF(I30="","",F30*I30)</f>
        <v>3</v>
      </c>
      <c r="K30" s="19"/>
      <c r="L30" s="24" t="s">
        <v>60</v>
      </c>
    </row>
    <row r="31" customFormat="false" ht="23.85" hidden="false" customHeight="false" outlineLevel="0" collapsed="false">
      <c r="A31" s="25" t="s">
        <v>99</v>
      </c>
      <c r="B31" s="26" t="s">
        <v>100</v>
      </c>
      <c r="C31" s="27" t="s">
        <v>101</v>
      </c>
      <c r="D31" s="27" t="s">
        <v>492</v>
      </c>
      <c r="E31" s="27" t="s">
        <v>444</v>
      </c>
      <c r="F31" s="30" t="n">
        <v>6</v>
      </c>
      <c r="G31" s="26" t="s">
        <v>58</v>
      </c>
      <c r="H31" s="28" t="str">
        <f aca="false">INDEX(Prix!$C$5:$C$79,MATCH($A31,Prix!$A$5:$A$79,0))</f>
        <v>Shop4Makers</v>
      </c>
      <c r="I31" s="67" t="n">
        <f aca="false">IFERROR(INDEX(Prix!$G$5:$G$79,MATCH($A31,Prix!$A$5:$A$79,0)),"")</f>
        <v>0.9</v>
      </c>
      <c r="J31" s="31" t="n">
        <f aca="false">IF(I31="","",F31*I31)</f>
        <v>5.4</v>
      </c>
      <c r="K31" s="27"/>
      <c r="L31" s="32" t="s">
        <v>60</v>
      </c>
    </row>
    <row r="32" customFormat="false" ht="23.85" hidden="false" customHeight="false" outlineLevel="0" collapsed="false">
      <c r="A32" s="33" t="s">
        <v>105</v>
      </c>
      <c r="B32" s="34" t="s">
        <v>100</v>
      </c>
      <c r="C32" s="35" t="s">
        <v>106</v>
      </c>
      <c r="D32" s="35" t="s">
        <v>363</v>
      </c>
      <c r="E32" s="35" t="s">
        <v>364</v>
      </c>
      <c r="F32" s="38" t="n">
        <v>1</v>
      </c>
      <c r="G32" s="34" t="s">
        <v>58</v>
      </c>
      <c r="H32" s="36" t="str">
        <f aca="false">INDEX(Prix!$C$5:$C$79,MATCH($A32,Prix!$A$5:$A$79,0))</f>
        <v>LCSC</v>
      </c>
      <c r="I32" s="68" t="str">
        <f aca="false">IFERROR(INDEX(Prix!$G$5:$G$79,MATCH($A32,Prix!$A$5:$A$79,0)),"")</f>
        <v/>
      </c>
      <c r="J32" s="39" t="str">
        <f aca="false">IF(I32="","",F32*I32)</f>
        <v/>
      </c>
      <c r="K32" s="35" t="s">
        <v>365</v>
      </c>
      <c r="L32" s="40" t="s">
        <v>60</v>
      </c>
    </row>
    <row r="33" customFormat="false" ht="23.85" hidden="false" customHeight="false" outlineLevel="0" collapsed="false">
      <c r="A33" s="25" t="s">
        <v>114</v>
      </c>
      <c r="B33" s="26" t="s">
        <v>100</v>
      </c>
      <c r="C33" s="27" t="s">
        <v>115</v>
      </c>
      <c r="D33" s="27" t="s">
        <v>493</v>
      </c>
      <c r="E33" s="27" t="s">
        <v>446</v>
      </c>
      <c r="F33" s="30" t="n">
        <v>7</v>
      </c>
      <c r="G33" s="26" t="s">
        <v>58</v>
      </c>
      <c r="H33" s="28" t="str">
        <f aca="false">INDEX(Prix!$C$5:$C$79,MATCH($A33,Prix!$A$5:$A$79,0))</f>
        <v>A2itronic</v>
      </c>
      <c r="I33" s="67" t="n">
        <f aca="false">IFERROR(INDEX(Prix!$G$5:$G$79,MATCH($A33,Prix!$A$5:$A$79,0)),"")</f>
        <v>1</v>
      </c>
      <c r="J33" s="31" t="n">
        <f aca="false">IF(I33="","",F33*I33)</f>
        <v>7</v>
      </c>
      <c r="K33" s="27" t="s">
        <v>368</v>
      </c>
      <c r="L33" s="32" t="s">
        <v>60</v>
      </c>
    </row>
    <row r="34" customFormat="false" ht="35.05" hidden="false" customHeight="false" outlineLevel="0" collapsed="false">
      <c r="A34" s="25" t="s">
        <v>117</v>
      </c>
      <c r="B34" s="26" t="s">
        <v>100</v>
      </c>
      <c r="C34" s="27" t="s">
        <v>118</v>
      </c>
      <c r="D34" s="27" t="s">
        <v>369</v>
      </c>
      <c r="E34" s="27" t="s">
        <v>370</v>
      </c>
      <c r="F34" s="30" t="n">
        <v>2</v>
      </c>
      <c r="G34" s="26" t="s">
        <v>58</v>
      </c>
      <c r="H34" s="28" t="str">
        <f aca="false">INDEX(Prix!$C$5:$C$79,MATCH($A34,Prix!$A$5:$A$79,0))</f>
        <v>A2itronic</v>
      </c>
      <c r="I34" s="67" t="n">
        <f aca="false">IFERROR(INDEX(Prix!$G$5:$G$79,MATCH($A34,Prix!$A$5:$A$79,0)),"")</f>
        <v>10</v>
      </c>
      <c r="J34" s="31" t="n">
        <f aca="false">IF(I34="","",F34*I34)</f>
        <v>20</v>
      </c>
      <c r="K34" s="27" t="s">
        <v>371</v>
      </c>
      <c r="L34" s="32" t="s">
        <v>60</v>
      </c>
    </row>
    <row r="35" customFormat="false" ht="23.85" hidden="false" customHeight="false" outlineLevel="0" collapsed="false">
      <c r="A35" s="25" t="s">
        <v>120</v>
      </c>
      <c r="B35" s="26" t="s">
        <v>100</v>
      </c>
      <c r="C35" s="27" t="s">
        <v>121</v>
      </c>
      <c r="D35" s="27" t="s">
        <v>372</v>
      </c>
      <c r="E35" s="27" t="s">
        <v>373</v>
      </c>
      <c r="F35" s="30" t="n">
        <v>1</v>
      </c>
      <c r="G35" s="26" t="s">
        <v>58</v>
      </c>
      <c r="H35" s="28" t="str">
        <f aca="false">INDEX(Prix!$C$5:$C$79,MATCH($A35,Prix!$A$5:$A$79,0))</f>
        <v>Megma</v>
      </c>
      <c r="I35" s="67" t="n">
        <f aca="false">IFERROR(INDEX(Prix!$G$5:$G$79,MATCH($A35,Prix!$A$5:$A$79,0)),"")</f>
        <v>7.5</v>
      </c>
      <c r="J35" s="31" t="n">
        <f aca="false">IF(I35="","",F35*I35)</f>
        <v>7.5</v>
      </c>
      <c r="K35" s="27" t="s">
        <v>374</v>
      </c>
      <c r="L35" s="32" t="s">
        <v>60</v>
      </c>
    </row>
    <row r="36" customFormat="false" ht="23.85" hidden="false" customHeight="false" outlineLevel="0" collapsed="false">
      <c r="A36" s="25" t="s">
        <v>123</v>
      </c>
      <c r="B36" s="26" t="s">
        <v>100</v>
      </c>
      <c r="C36" s="27" t="s">
        <v>124</v>
      </c>
      <c r="D36" s="27" t="s">
        <v>494</v>
      </c>
      <c r="E36" s="27" t="s">
        <v>448</v>
      </c>
      <c r="F36" s="30" t="n">
        <v>6</v>
      </c>
      <c r="G36" s="26" t="s">
        <v>58</v>
      </c>
      <c r="H36" s="28" t="str">
        <f aca="false">INDEX(Prix!$C$5:$C$79,MATCH($A36,Prix!$A$5:$A$79,0))</f>
        <v>Moussasoft</v>
      </c>
      <c r="I36" s="67" t="n">
        <f aca="false">IFERROR(INDEX(Prix!$G$5:$G$79,MATCH($A36,Prix!$A$5:$A$79,0)),"")</f>
        <v>1</v>
      </c>
      <c r="J36" s="31" t="n">
        <f aca="false">IF(I36="","",F36*I36)</f>
        <v>6</v>
      </c>
      <c r="K36" s="27"/>
      <c r="L36" s="32" t="s">
        <v>60</v>
      </c>
    </row>
    <row r="37" customFormat="false" ht="15" hidden="false" customHeight="false" outlineLevel="0" collapsed="false">
      <c r="A37" s="25" t="s">
        <v>125</v>
      </c>
      <c r="B37" s="26" t="s">
        <v>100</v>
      </c>
      <c r="C37" s="27" t="s">
        <v>126</v>
      </c>
      <c r="D37" s="27" t="s">
        <v>495</v>
      </c>
      <c r="E37" s="27" t="s">
        <v>496</v>
      </c>
      <c r="F37" s="30" t="n">
        <v>1</v>
      </c>
      <c r="G37" s="26" t="s">
        <v>58</v>
      </c>
      <c r="H37" s="28" t="str">
        <f aca="false">INDEX(Prix!$C$5:$C$79,MATCH($A37,Prix!$A$5:$A$79,0))</f>
        <v>Shop4Makers</v>
      </c>
      <c r="I37" s="67" t="n">
        <f aca="false">IFERROR(INDEX(Prix!$G$5:$G$79,MATCH($A37,Prix!$A$5:$A$79,0)),"")</f>
        <v>0.9</v>
      </c>
      <c r="J37" s="31" t="n">
        <f aca="false">IF(I37="","",F37*I37)</f>
        <v>0.9</v>
      </c>
      <c r="K37" s="27" t="s">
        <v>497</v>
      </c>
      <c r="L37" s="32" t="s">
        <v>60</v>
      </c>
    </row>
    <row r="38" customFormat="false" ht="23.85" hidden="false" customHeight="false" outlineLevel="0" collapsed="false">
      <c r="A38" s="17" t="s">
        <v>127</v>
      </c>
      <c r="B38" s="18" t="s">
        <v>128</v>
      </c>
      <c r="C38" s="19" t="s">
        <v>129</v>
      </c>
      <c r="D38" s="19" t="s">
        <v>498</v>
      </c>
      <c r="E38" s="19" t="s">
        <v>450</v>
      </c>
      <c r="F38" s="22" t="n">
        <v>6</v>
      </c>
      <c r="G38" s="18" t="s">
        <v>58</v>
      </c>
      <c r="H38" s="20" t="str">
        <f aca="false">INDEX(Prix!$C$5:$C$79,MATCH($A38,Prix!$A$5:$A$79,0))</f>
        <v>Moussasoft</v>
      </c>
      <c r="I38" s="66" t="n">
        <f aca="false">IFERROR(INDEX(Prix!$G$5:$G$79,MATCH($A38,Prix!$A$5:$A$79,0)),"")</f>
        <v>18</v>
      </c>
      <c r="J38" s="23" t="n">
        <f aca="false">IF(I38="","",F38*I38)</f>
        <v>108</v>
      </c>
      <c r="K38" s="19"/>
      <c r="L38" s="24" t="s">
        <v>60</v>
      </c>
    </row>
    <row r="39" customFormat="false" ht="23.85" hidden="false" customHeight="false" outlineLevel="0" collapsed="false">
      <c r="A39" s="17" t="s">
        <v>131</v>
      </c>
      <c r="B39" s="18" t="s">
        <v>128</v>
      </c>
      <c r="C39" s="19" t="s">
        <v>132</v>
      </c>
      <c r="D39" s="19" t="s">
        <v>499</v>
      </c>
      <c r="E39" s="19" t="s">
        <v>500</v>
      </c>
      <c r="F39" s="22" t="n">
        <v>1</v>
      </c>
      <c r="G39" s="18" t="s">
        <v>58</v>
      </c>
      <c r="H39" s="20" t="str">
        <f aca="false">INDEX(Prix!$C$5:$C$79,MATCH($A39,Prix!$A$5:$A$79,0))</f>
        <v>MicroPlanet</v>
      </c>
      <c r="I39" s="66" t="n">
        <f aca="false">IFERROR(INDEX(Prix!$G$5:$G$79,MATCH($A39,Prix!$A$5:$A$79,0)),"")</f>
        <v>4</v>
      </c>
      <c r="J39" s="23" t="n">
        <f aca="false">IF(I39="","",F39*I39)</f>
        <v>4</v>
      </c>
      <c r="K39" s="19"/>
      <c r="L39" s="24" t="s">
        <v>60</v>
      </c>
    </row>
    <row r="40" customFormat="false" ht="23.85" hidden="false" customHeight="false" outlineLevel="0" collapsed="false">
      <c r="A40" s="17" t="s">
        <v>134</v>
      </c>
      <c r="B40" s="18" t="s">
        <v>128</v>
      </c>
      <c r="C40" s="19" t="s">
        <v>135</v>
      </c>
      <c r="D40" s="19" t="s">
        <v>501</v>
      </c>
      <c r="E40" s="19" t="s">
        <v>502</v>
      </c>
      <c r="F40" s="22" t="n">
        <v>1</v>
      </c>
      <c r="G40" s="18" t="s">
        <v>58</v>
      </c>
      <c r="H40" s="20" t="str">
        <f aca="false">INDEX(Prix!$C$5:$C$79,MATCH($A40,Prix!$A$5:$A$79,0))</f>
        <v>Moussasoft</v>
      </c>
      <c r="I40" s="66" t="n">
        <f aca="false">IFERROR(INDEX(Prix!$G$5:$G$79,MATCH($A40,Prix!$A$5:$A$79,0)),"")</f>
        <v>4</v>
      </c>
      <c r="J40" s="23" t="n">
        <f aca="false">IF(I40="","",F40*I40)</f>
        <v>4</v>
      </c>
      <c r="K40" s="19"/>
      <c r="L40" s="24" t="s">
        <v>60</v>
      </c>
    </row>
    <row r="41" customFormat="false" ht="23.85" hidden="false" customHeight="false" outlineLevel="0" collapsed="false">
      <c r="A41" s="17" t="s">
        <v>137</v>
      </c>
      <c r="B41" s="18" t="s">
        <v>128</v>
      </c>
      <c r="C41" s="19" t="s">
        <v>138</v>
      </c>
      <c r="D41" s="19" t="s">
        <v>394</v>
      </c>
      <c r="E41" s="19" t="s">
        <v>503</v>
      </c>
      <c r="F41" s="22" t="n">
        <v>3</v>
      </c>
      <c r="G41" s="18" t="s">
        <v>58</v>
      </c>
      <c r="H41" s="20" t="str">
        <f aca="false">INDEX(Prix!$C$5:$C$79,MATCH($A41,Prix!$A$5:$A$79,0))</f>
        <v>Megma</v>
      </c>
      <c r="I41" s="66" t="n">
        <f aca="false">IFERROR(INDEX(Prix!$G$5:$G$79,MATCH($A41,Prix!$A$5:$A$79,0)),"")</f>
        <v>0.5</v>
      </c>
      <c r="J41" s="23" t="n">
        <f aca="false">IF(I41="","",F41*I41)</f>
        <v>1.5</v>
      </c>
      <c r="K41" s="19" t="s">
        <v>504</v>
      </c>
      <c r="L41" s="24" t="s">
        <v>60</v>
      </c>
    </row>
    <row r="42" customFormat="false" ht="23.85" hidden="false" customHeight="false" outlineLevel="0" collapsed="false">
      <c r="A42" s="17" t="s">
        <v>140</v>
      </c>
      <c r="B42" s="18" t="s">
        <v>128</v>
      </c>
      <c r="C42" s="19" t="s">
        <v>141</v>
      </c>
      <c r="D42" s="19" t="s">
        <v>505</v>
      </c>
      <c r="E42" s="19" t="s">
        <v>506</v>
      </c>
      <c r="F42" s="22" t="n">
        <v>1</v>
      </c>
      <c r="G42" s="18" t="s">
        <v>58</v>
      </c>
      <c r="H42" s="20" t="str">
        <f aca="false">INDEX(Prix!$C$5:$C$79,MATCH($A42,Prix!$A$5:$A$79,0))</f>
        <v>Shop4Makers</v>
      </c>
      <c r="I42" s="66" t="n">
        <f aca="false">IFERROR(INDEX(Prix!$G$5:$G$79,MATCH($A42,Prix!$A$5:$A$79,0)),"")</f>
        <v>90</v>
      </c>
      <c r="J42" s="23" t="n">
        <f aca="false">IF(I42="","",F42*I42)</f>
        <v>90</v>
      </c>
      <c r="K42" s="19" t="s">
        <v>507</v>
      </c>
      <c r="L42" s="24" t="s">
        <v>60</v>
      </c>
    </row>
    <row r="43" customFormat="false" ht="35.05" hidden="false" customHeight="false" outlineLevel="0" collapsed="false">
      <c r="A43" s="25" t="s">
        <v>143</v>
      </c>
      <c r="B43" s="26" t="s">
        <v>144</v>
      </c>
      <c r="C43" s="27" t="s">
        <v>145</v>
      </c>
      <c r="D43" s="27" t="s">
        <v>508</v>
      </c>
      <c r="E43" s="27" t="s">
        <v>376</v>
      </c>
      <c r="F43" s="30" t="n">
        <v>5</v>
      </c>
      <c r="G43" s="26" t="s">
        <v>58</v>
      </c>
      <c r="H43" s="28" t="str">
        <f aca="false">INDEX(Prix!$C$5:$C$79,MATCH($A43,Prix!$A$5:$A$79,0))</f>
        <v>MicroPlanet</v>
      </c>
      <c r="I43" s="67" t="n">
        <f aca="false">IFERROR(INDEX(Prix!$G$5:$G$79,MATCH($A43,Prix!$A$5:$A$79,0)),"")</f>
        <v>2</v>
      </c>
      <c r="J43" s="31" t="n">
        <f aca="false">IF(I43="","",F43*I43)</f>
        <v>10</v>
      </c>
      <c r="K43" s="27" t="s">
        <v>509</v>
      </c>
      <c r="L43" s="32" t="s">
        <v>60</v>
      </c>
    </row>
    <row r="44" customFormat="false" ht="23.85" hidden="false" customHeight="false" outlineLevel="0" collapsed="false">
      <c r="A44" s="25" t="s">
        <v>147</v>
      </c>
      <c r="B44" s="26" t="s">
        <v>144</v>
      </c>
      <c r="C44" s="27" t="s">
        <v>148</v>
      </c>
      <c r="D44" s="27" t="s">
        <v>510</v>
      </c>
      <c r="E44" s="27" t="s">
        <v>511</v>
      </c>
      <c r="F44" s="30" t="n">
        <v>8</v>
      </c>
      <c r="G44" s="26" t="s">
        <v>58</v>
      </c>
      <c r="H44" s="28" t="str">
        <f aca="false">INDEX(Prix!$C$5:$C$79,MATCH($A44,Prix!$A$5:$A$79,0))</f>
        <v>MicroPlanet</v>
      </c>
      <c r="I44" s="67" t="n">
        <f aca="false">IFERROR(INDEX(Prix!$G$5:$G$79,MATCH($A44,Prix!$A$5:$A$79,0)),"")</f>
        <v>3</v>
      </c>
      <c r="J44" s="31" t="n">
        <f aca="false">IF(I44="","",F44*I44)</f>
        <v>24</v>
      </c>
      <c r="K44" s="27"/>
      <c r="L44" s="32" t="s">
        <v>60</v>
      </c>
    </row>
    <row r="45" customFormat="false" ht="23.85" hidden="false" customHeight="false" outlineLevel="0" collapsed="false">
      <c r="A45" s="25" t="s">
        <v>150</v>
      </c>
      <c r="B45" s="26" t="s">
        <v>144</v>
      </c>
      <c r="C45" s="27" t="s">
        <v>151</v>
      </c>
      <c r="D45" s="27" t="s">
        <v>512</v>
      </c>
      <c r="E45" s="27" t="s">
        <v>513</v>
      </c>
      <c r="F45" s="30" t="n">
        <v>3</v>
      </c>
      <c r="G45" s="26" t="s">
        <v>58</v>
      </c>
      <c r="H45" s="28" t="str">
        <f aca="false">INDEX(Prix!$C$5:$C$79,MATCH($A45,Prix!$A$5:$A$79,0))</f>
        <v>MicroPlanet</v>
      </c>
      <c r="I45" s="67" t="n">
        <f aca="false">IFERROR(INDEX(Prix!$G$5:$G$79,MATCH($A45,Prix!$A$5:$A$79,0)),"")</f>
        <v>5</v>
      </c>
      <c r="J45" s="31" t="n">
        <f aca="false">IF(I45="","",F45*I45)</f>
        <v>15</v>
      </c>
      <c r="K45" s="27"/>
      <c r="L45" s="32" t="s">
        <v>60</v>
      </c>
    </row>
    <row r="46" customFormat="false" ht="23.85" hidden="false" customHeight="false" outlineLevel="0" collapsed="false">
      <c r="A46" s="25" t="s">
        <v>153</v>
      </c>
      <c r="B46" s="26" t="s">
        <v>144</v>
      </c>
      <c r="C46" s="27" t="s">
        <v>154</v>
      </c>
      <c r="D46" s="27" t="s">
        <v>514</v>
      </c>
      <c r="E46" s="27" t="s">
        <v>515</v>
      </c>
      <c r="F46" s="30" t="n">
        <v>2</v>
      </c>
      <c r="G46" s="26" t="s">
        <v>58</v>
      </c>
      <c r="H46" s="28" t="str">
        <f aca="false">INDEX(Prix!$C$5:$C$79,MATCH($A46,Prix!$A$5:$A$79,0))</f>
        <v>Moussasoft</v>
      </c>
      <c r="I46" s="67" t="n">
        <f aca="false">IFERROR(INDEX(Prix!$G$5:$G$79,MATCH($A46,Prix!$A$5:$A$79,0)),"")</f>
        <v>5</v>
      </c>
      <c r="J46" s="31" t="n">
        <f aca="false">IF(I46="","",F46*I46)</f>
        <v>10</v>
      </c>
      <c r="K46" s="27" t="s">
        <v>382</v>
      </c>
      <c r="L46" s="32" t="s">
        <v>60</v>
      </c>
    </row>
    <row r="47" customFormat="false" ht="35.05" hidden="false" customHeight="false" outlineLevel="0" collapsed="false">
      <c r="A47" s="25" t="s">
        <v>156</v>
      </c>
      <c r="B47" s="26" t="s">
        <v>144</v>
      </c>
      <c r="C47" s="27" t="s">
        <v>157</v>
      </c>
      <c r="D47" s="27" t="s">
        <v>516</v>
      </c>
      <c r="E47" s="27" t="s">
        <v>384</v>
      </c>
      <c r="F47" s="30" t="n">
        <v>2</v>
      </c>
      <c r="G47" s="26" t="s">
        <v>58</v>
      </c>
      <c r="H47" s="28" t="str">
        <f aca="false">INDEX(Prix!$C$5:$C$79,MATCH($A47,Prix!$A$5:$A$79,0))</f>
        <v>Moussasoft</v>
      </c>
      <c r="I47" s="67" t="n">
        <f aca="false">IFERROR(INDEX(Prix!$G$5:$G$79,MATCH($A47,Prix!$A$5:$A$79,0)),"")</f>
        <v>4</v>
      </c>
      <c r="J47" s="31" t="n">
        <f aca="false">IF(I47="","",F47*I47)</f>
        <v>8</v>
      </c>
      <c r="K47" s="27" t="s">
        <v>517</v>
      </c>
      <c r="L47" s="32" t="s">
        <v>60</v>
      </c>
    </row>
    <row r="48" customFormat="false" ht="23.85" hidden="false" customHeight="false" outlineLevel="0" collapsed="false">
      <c r="A48" s="25" t="s">
        <v>158</v>
      </c>
      <c r="B48" s="26" t="s">
        <v>144</v>
      </c>
      <c r="C48" s="27" t="s">
        <v>159</v>
      </c>
      <c r="D48" s="27" t="s">
        <v>386</v>
      </c>
      <c r="E48" s="27" t="s">
        <v>387</v>
      </c>
      <c r="F48" s="30" t="n">
        <v>7</v>
      </c>
      <c r="G48" s="26" t="s">
        <v>58</v>
      </c>
      <c r="H48" s="28" t="str">
        <f aca="false">INDEX(Prix!$C$5:$C$79,MATCH($A48,Prix!$A$5:$A$79,0))</f>
        <v>Shop4Makers</v>
      </c>
      <c r="I48" s="67" t="n">
        <f aca="false">IFERROR(INDEX(Prix!$G$5:$G$79,MATCH($A48,Prix!$A$5:$A$79,0)),"")</f>
        <v>0.5</v>
      </c>
      <c r="J48" s="31" t="n">
        <f aca="false">IF(I48="","",F48*I48)</f>
        <v>3.5</v>
      </c>
      <c r="K48" s="27" t="s">
        <v>518</v>
      </c>
      <c r="L48" s="32" t="s">
        <v>60</v>
      </c>
    </row>
    <row r="49" customFormat="false" ht="23.85" hidden="false" customHeight="false" outlineLevel="0" collapsed="false">
      <c r="A49" s="25" t="s">
        <v>164</v>
      </c>
      <c r="B49" s="26" t="s">
        <v>144</v>
      </c>
      <c r="C49" s="27" t="s">
        <v>165</v>
      </c>
      <c r="D49" s="27" t="s">
        <v>389</v>
      </c>
      <c r="E49" s="27" t="s">
        <v>390</v>
      </c>
      <c r="F49" s="30" t="n">
        <v>1</v>
      </c>
      <c r="G49" s="26" t="s">
        <v>58</v>
      </c>
      <c r="H49" s="28" t="str">
        <f aca="false">INDEX(Prix!$C$5:$C$79,MATCH($A49,Prix!$A$5:$A$79,0))</f>
        <v>—</v>
      </c>
      <c r="I49" s="67" t="n">
        <f aca="false">IFERROR(INDEX(Prix!$G$5:$G$79,MATCH($A49,Prix!$A$5:$A$79,0)),"")</f>
        <v>0</v>
      </c>
      <c r="J49" s="31" t="n">
        <f aca="false">IF(I49="","",F49*I49)</f>
        <v>0</v>
      </c>
      <c r="K49" s="72" t="s">
        <v>391</v>
      </c>
      <c r="L49" s="26"/>
    </row>
    <row r="50" customFormat="false" ht="23.85" hidden="false" customHeight="false" outlineLevel="0" collapsed="false">
      <c r="A50" s="25" t="s">
        <v>167</v>
      </c>
      <c r="B50" s="26" t="s">
        <v>144</v>
      </c>
      <c r="C50" s="27" t="s">
        <v>168</v>
      </c>
      <c r="D50" s="27" t="s">
        <v>392</v>
      </c>
      <c r="E50" s="27" t="s">
        <v>393</v>
      </c>
      <c r="F50" s="30" t="n">
        <v>4</v>
      </c>
      <c r="G50" s="26" t="s">
        <v>58</v>
      </c>
      <c r="H50" s="28" t="str">
        <f aca="false">INDEX(Prix!$C$5:$C$79,MATCH($A50,Prix!$A$5:$A$79,0))</f>
        <v>—</v>
      </c>
      <c r="I50" s="67" t="n">
        <f aca="false">IFERROR(INDEX(Prix!$G$5:$G$79,MATCH($A50,Prix!$A$5:$A$79,0)),"")</f>
        <v>0</v>
      </c>
      <c r="J50" s="31" t="n">
        <f aca="false">IF(I50="","",F50*I50)</f>
        <v>0</v>
      </c>
      <c r="K50" s="27"/>
      <c r="L50" s="26"/>
    </row>
    <row r="51" customFormat="false" ht="15" hidden="false" customHeight="false" outlineLevel="0" collapsed="false">
      <c r="A51" s="17" t="s">
        <v>170</v>
      </c>
      <c r="B51" s="18" t="s">
        <v>171</v>
      </c>
      <c r="C51" s="19" t="s">
        <v>172</v>
      </c>
      <c r="D51" s="19" t="s">
        <v>394</v>
      </c>
      <c r="E51" s="19" t="s">
        <v>519</v>
      </c>
      <c r="F51" s="22" t="n">
        <v>1</v>
      </c>
      <c r="G51" s="18" t="s">
        <v>58</v>
      </c>
      <c r="H51" s="20" t="str">
        <f aca="false">INDEX(Prix!$C$5:$C$79,MATCH($A51,Prix!$A$5:$A$79,0))</f>
        <v>Shop4Makers</v>
      </c>
      <c r="I51" s="66" t="n">
        <f aca="false">IFERROR(INDEX(Prix!$G$5:$G$79,MATCH($A51,Prix!$A$5:$A$79,0)),"")</f>
        <v>16.2</v>
      </c>
      <c r="J51" s="23" t="n">
        <f aca="false">IF(I51="","",F51*I51)</f>
        <v>16.2</v>
      </c>
      <c r="K51" s="19" t="s">
        <v>520</v>
      </c>
      <c r="L51" s="24" t="s">
        <v>60</v>
      </c>
    </row>
    <row r="52" customFormat="false" ht="23.85" hidden="false" customHeight="false" outlineLevel="0" collapsed="false">
      <c r="A52" s="17" t="s">
        <v>178</v>
      </c>
      <c r="B52" s="18" t="s">
        <v>171</v>
      </c>
      <c r="C52" s="19" t="s">
        <v>179</v>
      </c>
      <c r="D52" s="19" t="s">
        <v>394</v>
      </c>
      <c r="E52" s="19" t="s">
        <v>521</v>
      </c>
      <c r="F52" s="22" t="n">
        <v>1</v>
      </c>
      <c r="G52" s="18" t="s">
        <v>58</v>
      </c>
      <c r="H52" s="20" t="str">
        <f aca="false">INDEX(Prix!$C$5:$C$79,MATCH($A52,Prix!$A$5:$A$79,0))</f>
        <v>A2itronic</v>
      </c>
      <c r="I52" s="66" t="n">
        <f aca="false">IFERROR(INDEX(Prix!$G$5:$G$79,MATCH($A52,Prix!$A$5:$A$79,0)),"")</f>
        <v>50</v>
      </c>
      <c r="J52" s="23" t="n">
        <f aca="false">IF(I52="","",F52*I52)</f>
        <v>50</v>
      </c>
      <c r="K52" s="19" t="s">
        <v>522</v>
      </c>
      <c r="L52" s="24" t="s">
        <v>60</v>
      </c>
    </row>
    <row r="53" customFormat="false" ht="15" hidden="false" customHeight="false" outlineLevel="0" collapsed="false">
      <c r="A53" s="17" t="s">
        <v>181</v>
      </c>
      <c r="B53" s="18" t="s">
        <v>171</v>
      </c>
      <c r="C53" s="19" t="s">
        <v>182</v>
      </c>
      <c r="D53" s="19" t="s">
        <v>394</v>
      </c>
      <c r="E53" s="19" t="s">
        <v>523</v>
      </c>
      <c r="F53" s="22" t="n">
        <v>1</v>
      </c>
      <c r="G53" s="18" t="s">
        <v>58</v>
      </c>
      <c r="H53" s="20" t="str">
        <f aca="false">INDEX(Prix!$C$5:$C$79,MATCH($A53,Prix!$A$5:$A$79,0))</f>
        <v>Moussasoft</v>
      </c>
      <c r="I53" s="66" t="n">
        <f aca="false">IFERROR(INDEX(Prix!$G$5:$G$79,MATCH($A53,Prix!$A$5:$A$79,0)),"")</f>
        <v>2</v>
      </c>
      <c r="J53" s="23" t="n">
        <f aca="false">IF(I53="","",F53*I53)</f>
        <v>2</v>
      </c>
      <c r="K53" s="19" t="s">
        <v>465</v>
      </c>
      <c r="L53" s="24" t="s">
        <v>60</v>
      </c>
    </row>
    <row r="54" customFormat="false" ht="23.85" hidden="false" customHeight="false" outlineLevel="0" collapsed="false">
      <c r="A54" s="17" t="s">
        <v>190</v>
      </c>
      <c r="B54" s="18" t="s">
        <v>171</v>
      </c>
      <c r="C54" s="19" t="s">
        <v>191</v>
      </c>
      <c r="D54" s="19" t="s">
        <v>394</v>
      </c>
      <c r="E54" s="19" t="s">
        <v>524</v>
      </c>
      <c r="F54" s="22" t="n">
        <v>3</v>
      </c>
      <c r="G54" s="18" t="s">
        <v>58</v>
      </c>
      <c r="H54" s="20" t="str">
        <f aca="false">INDEX(Prix!$C$5:$C$79,MATCH($A54,Prix!$A$5:$A$79,0))</f>
        <v>Moussasoft</v>
      </c>
      <c r="I54" s="66" t="n">
        <f aca="false">IFERROR(INDEX(Prix!$G$5:$G$79,MATCH($A54,Prix!$A$5:$A$79,0)),"")</f>
        <v>25</v>
      </c>
      <c r="J54" s="23" t="n">
        <f aca="false">IF(I54="","",F54*I54)</f>
        <v>75</v>
      </c>
      <c r="K54" s="69" t="s">
        <v>525</v>
      </c>
      <c r="L54" s="24" t="s">
        <v>60</v>
      </c>
    </row>
    <row r="55" customFormat="false" ht="15" hidden="false" customHeight="false" outlineLevel="0" collapsed="false">
      <c r="A55" s="17" t="s">
        <v>192</v>
      </c>
      <c r="B55" s="18" t="s">
        <v>171</v>
      </c>
      <c r="C55" s="19" t="s">
        <v>193</v>
      </c>
      <c r="D55" s="19" t="s">
        <v>394</v>
      </c>
      <c r="E55" s="19" t="s">
        <v>526</v>
      </c>
      <c r="F55" s="22" t="n">
        <v>2</v>
      </c>
      <c r="G55" s="18" t="s">
        <v>58</v>
      </c>
      <c r="H55" s="20" t="str">
        <f aca="false">INDEX(Prix!$C$5:$C$79,MATCH($A55,Prix!$A$5:$A$79,0))</f>
        <v>Moussasoft</v>
      </c>
      <c r="I55" s="66" t="n">
        <f aca="false">IFERROR(INDEX(Prix!$G$5:$G$79,MATCH($A55,Prix!$A$5:$A$79,0)),"")</f>
        <v>30</v>
      </c>
      <c r="J55" s="23" t="n">
        <f aca="false">IF(I55="","",F55*I55)</f>
        <v>60</v>
      </c>
      <c r="K55" s="19" t="s">
        <v>527</v>
      </c>
      <c r="L55" s="24" t="s">
        <v>60</v>
      </c>
    </row>
    <row r="56" customFormat="false" ht="15" hidden="false" customHeight="false" outlineLevel="0" collapsed="false">
      <c r="A56" s="17" t="s">
        <v>195</v>
      </c>
      <c r="B56" s="18" t="s">
        <v>171</v>
      </c>
      <c r="C56" s="19" t="s">
        <v>196</v>
      </c>
      <c r="D56" s="19" t="s">
        <v>394</v>
      </c>
      <c r="E56" s="19" t="s">
        <v>409</v>
      </c>
      <c r="F56" s="22" t="n">
        <v>1</v>
      </c>
      <c r="G56" s="18" t="s">
        <v>58</v>
      </c>
      <c r="H56" s="20" t="str">
        <f aca="false">INDEX(Prix!$C$5:$C$79,MATCH($A56,Prix!$A$5:$A$79,0))</f>
        <v>Shop4Makers</v>
      </c>
      <c r="I56" s="66" t="n">
        <f aca="false">IFERROR(INDEX(Prix!$G$5:$G$79,MATCH($A56,Prix!$A$5:$A$79,0)),"")</f>
        <v>70</v>
      </c>
      <c r="J56" s="23" t="n">
        <f aca="false">IF(I56="","",F56*I56)</f>
        <v>70</v>
      </c>
      <c r="K56" s="19"/>
      <c r="L56" s="24" t="s">
        <v>60</v>
      </c>
    </row>
    <row r="57" customFormat="false" ht="23.85" hidden="false" customHeight="false" outlineLevel="0" collapsed="false">
      <c r="A57" s="17" t="s">
        <v>198</v>
      </c>
      <c r="B57" s="18" t="s">
        <v>171</v>
      </c>
      <c r="C57" s="19" t="s">
        <v>199</v>
      </c>
      <c r="D57" s="19" t="s">
        <v>394</v>
      </c>
      <c r="E57" s="19" t="s">
        <v>528</v>
      </c>
      <c r="F57" s="22" t="n">
        <v>1</v>
      </c>
      <c r="G57" s="18" t="s">
        <v>58</v>
      </c>
      <c r="H57" s="20" t="str">
        <f aca="false">INDEX(Prix!$C$5:$C$79,MATCH($A57,Prix!$A$5:$A$79,0))</f>
        <v>A2itronic</v>
      </c>
      <c r="I57" s="66" t="n">
        <f aca="false">IFERROR(INDEX(Prix!$G$5:$G$79,MATCH($A57,Prix!$A$5:$A$79,0)),"")</f>
        <v>29</v>
      </c>
      <c r="J57" s="23" t="n">
        <f aca="false">IF(I57="","",F57*I57)</f>
        <v>29</v>
      </c>
      <c r="K57" s="19" t="s">
        <v>529</v>
      </c>
      <c r="L57" s="24" t="s">
        <v>60</v>
      </c>
    </row>
    <row r="58" customFormat="false" ht="15" hidden="false" customHeight="false" outlineLevel="0" collapsed="false">
      <c r="A58" s="17" t="s">
        <v>201</v>
      </c>
      <c r="B58" s="18" t="s">
        <v>171</v>
      </c>
      <c r="C58" s="19" t="s">
        <v>202</v>
      </c>
      <c r="D58" s="19" t="s">
        <v>394</v>
      </c>
      <c r="E58" s="19" t="s">
        <v>530</v>
      </c>
      <c r="F58" s="22" t="n">
        <v>1</v>
      </c>
      <c r="G58" s="18" t="s">
        <v>58</v>
      </c>
      <c r="H58" s="20" t="str">
        <f aca="false">INDEX(Prix!$C$5:$C$79,MATCH($A58,Prix!$A$5:$A$79,0))</f>
        <v>Shop4Makers</v>
      </c>
      <c r="I58" s="66" t="n">
        <f aca="false">IFERROR(INDEX(Prix!$G$5:$G$79,MATCH($A58,Prix!$A$5:$A$79,0)),"")</f>
        <v>3</v>
      </c>
      <c r="J58" s="23" t="n">
        <f aca="false">IF(I58="","",F58*I58)</f>
        <v>3</v>
      </c>
      <c r="K58" s="19"/>
      <c r="L58" s="24" t="s">
        <v>60</v>
      </c>
    </row>
    <row r="59" customFormat="false" ht="23.85" hidden="false" customHeight="false" outlineLevel="0" collapsed="false">
      <c r="A59" s="41" t="s">
        <v>206</v>
      </c>
      <c r="B59" s="42" t="s">
        <v>171</v>
      </c>
      <c r="C59" s="43" t="s">
        <v>207</v>
      </c>
      <c r="D59" s="43" t="s">
        <v>394</v>
      </c>
      <c r="E59" s="43" t="s">
        <v>531</v>
      </c>
      <c r="F59" s="46" t="n">
        <v>1</v>
      </c>
      <c r="G59" s="42" t="s">
        <v>176</v>
      </c>
      <c r="H59" s="44" t="str">
        <f aca="false">INDEX(Prix!$C$5:$C$79,MATCH($A59,Prix!$A$5:$A$79,0))</f>
        <v>Moussasoft</v>
      </c>
      <c r="I59" s="70" t="n">
        <f aca="false">IFERROR(INDEX(Prix!$G$5:$G$79,MATCH($A59,Prix!$A$5:$A$79,0)),"")</f>
        <v>18</v>
      </c>
      <c r="J59" s="47" t="n">
        <f aca="false">IF(I59="","",F59*I59)</f>
        <v>18</v>
      </c>
      <c r="K59" s="43" t="s">
        <v>532</v>
      </c>
      <c r="L59" s="48" t="s">
        <v>60</v>
      </c>
    </row>
    <row r="60" customFormat="false" ht="15" hidden="false" customHeight="false" outlineLevel="0" collapsed="false">
      <c r="A60" s="25" t="s">
        <v>247</v>
      </c>
      <c r="B60" s="26" t="s">
        <v>212</v>
      </c>
      <c r="C60" s="27" t="s">
        <v>248</v>
      </c>
      <c r="D60" s="27" t="s">
        <v>394</v>
      </c>
      <c r="E60" s="27" t="s">
        <v>533</v>
      </c>
      <c r="F60" s="30" t="n">
        <v>1</v>
      </c>
      <c r="G60" s="26" t="s">
        <v>58</v>
      </c>
      <c r="H60" s="28" t="str">
        <f aca="false">INDEX(Prix!$C$5:$C$79,MATCH($A60,Prix!$A$5:$A$79,0))</f>
        <v>La-Librairie.ma</v>
      </c>
      <c r="I60" s="67" t="n">
        <f aca="false">IFERROR(INDEX(Prix!$G$5:$G$79,MATCH($A60,Prix!$A$5:$A$79,0)),"")</f>
        <v>12</v>
      </c>
      <c r="J60" s="31" t="n">
        <f aca="false">IF(I60="","",F60*I60)</f>
        <v>12</v>
      </c>
      <c r="K60" s="27" t="s">
        <v>534</v>
      </c>
      <c r="L60" s="32" t="s">
        <v>60</v>
      </c>
    </row>
    <row r="61" customFormat="false" ht="23.85" hidden="false" customHeight="false" outlineLevel="0" collapsed="false">
      <c r="A61" s="17" t="s">
        <v>250</v>
      </c>
      <c r="B61" s="18" t="s">
        <v>251</v>
      </c>
      <c r="C61" s="19" t="s">
        <v>252</v>
      </c>
      <c r="D61" s="19" t="s">
        <v>421</v>
      </c>
      <c r="E61" s="19" t="s">
        <v>422</v>
      </c>
      <c r="F61" s="22" t="n">
        <v>7</v>
      </c>
      <c r="G61" s="18" t="s">
        <v>58</v>
      </c>
      <c r="H61" s="20" t="str">
        <f aca="false">INDEX(Prix!$C$5:$C$79,MATCH($A61,Prix!$A$5:$A$79,0))</f>
        <v>Dsindustrie</v>
      </c>
      <c r="I61" s="66" t="n">
        <f aca="false">IFERROR(INDEX(Prix!$G$5:$G$79,MATCH($A61,Prix!$A$5:$A$79,0)),"")</f>
        <v>2</v>
      </c>
      <c r="J61" s="23" t="n">
        <f aca="false">IF(I61="","",F61*I61)</f>
        <v>14</v>
      </c>
      <c r="K61" s="69" t="s">
        <v>535</v>
      </c>
      <c r="L61" s="24" t="s">
        <v>60</v>
      </c>
    </row>
    <row r="62" customFormat="false" ht="15" hidden="false" customHeight="false" outlineLevel="0" collapsed="false">
      <c r="A62" s="17" t="s">
        <v>254</v>
      </c>
      <c r="B62" s="18" t="s">
        <v>251</v>
      </c>
      <c r="C62" s="19" t="s">
        <v>255</v>
      </c>
      <c r="D62" s="19" t="s">
        <v>423</v>
      </c>
      <c r="E62" s="19" t="s">
        <v>424</v>
      </c>
      <c r="F62" s="22" t="n">
        <v>7</v>
      </c>
      <c r="G62" s="18" t="s">
        <v>58</v>
      </c>
      <c r="H62" s="20" t="str">
        <f aca="false">INDEX(Prix!$C$5:$C$79,MATCH($A62,Prix!$A$5:$A$79,0))</f>
        <v>Dsindustrie</v>
      </c>
      <c r="I62" s="66" t="n">
        <f aca="false">IFERROR(INDEX(Prix!$G$5:$G$79,MATCH($A62,Prix!$A$5:$A$79,0)),"")</f>
        <v>0</v>
      </c>
      <c r="J62" s="23" t="n">
        <f aca="false">IF(I62="","",F62*I62)</f>
        <v>0</v>
      </c>
      <c r="K62" s="19"/>
      <c r="L62" s="18"/>
    </row>
    <row r="63" customFormat="false" ht="23.85" hidden="false" customHeight="false" outlineLevel="0" collapsed="false">
      <c r="A63" s="17" t="s">
        <v>257</v>
      </c>
      <c r="B63" s="18" t="s">
        <v>251</v>
      </c>
      <c r="C63" s="19" t="s">
        <v>258</v>
      </c>
      <c r="D63" s="19" t="s">
        <v>394</v>
      </c>
      <c r="E63" s="19" t="s">
        <v>536</v>
      </c>
      <c r="F63" s="22" t="n">
        <v>1</v>
      </c>
      <c r="G63" s="18" t="s">
        <v>58</v>
      </c>
      <c r="H63" s="20" t="str">
        <f aca="false">INDEX(Prix!$C$5:$C$79,MATCH($A63,Prix!$A$5:$A$79,0))</f>
        <v>EnergyMarket</v>
      </c>
      <c r="I63" s="66" t="n">
        <f aca="false">IFERROR(INDEX(Prix!$G$5:$G$79,MATCH($A63,Prix!$A$5:$A$79,0)),"")</f>
        <v>352</v>
      </c>
      <c r="J63" s="23" t="n">
        <f aca="false">IF(I63="","",F63*I63)</f>
        <v>352</v>
      </c>
      <c r="K63" s="19" t="s">
        <v>537</v>
      </c>
      <c r="L63" s="24" t="s">
        <v>60</v>
      </c>
    </row>
    <row r="64" customFormat="false" ht="15" hidden="false" customHeight="false" outlineLevel="0" collapsed="false">
      <c r="A64" s="17" t="s">
        <v>260</v>
      </c>
      <c r="B64" s="18" t="s">
        <v>251</v>
      </c>
      <c r="C64" s="19" t="s">
        <v>261</v>
      </c>
      <c r="D64" s="19" t="s">
        <v>394</v>
      </c>
      <c r="E64" s="19" t="s">
        <v>538</v>
      </c>
      <c r="F64" s="22" t="n">
        <v>8</v>
      </c>
      <c r="G64" s="18" t="s">
        <v>58</v>
      </c>
      <c r="H64" s="20" t="str">
        <f aca="false">INDEX(Prix!$C$5:$C$79,MATCH($A64,Prix!$A$5:$A$79,0))</f>
        <v>Quincaillerie</v>
      </c>
      <c r="I64" s="66" t="str">
        <f aca="false">IFERROR(INDEX(Prix!$G$5:$G$79,MATCH($A64,Prix!$A$5:$A$79,0)),"")</f>
        <v/>
      </c>
      <c r="J64" s="23" t="str">
        <f aca="false">IF(I64="","",F64*I64)</f>
        <v/>
      </c>
      <c r="K64" s="19"/>
      <c r="L64" s="18"/>
    </row>
    <row r="65" customFormat="false" ht="15" hidden="false" customHeight="false" outlineLevel="0" collapsed="false">
      <c r="A65" s="17" t="s">
        <v>263</v>
      </c>
      <c r="B65" s="18" t="s">
        <v>251</v>
      </c>
      <c r="C65" s="19" t="s">
        <v>264</v>
      </c>
      <c r="D65" s="19" t="s">
        <v>394</v>
      </c>
      <c r="E65" s="19" t="s">
        <v>429</v>
      </c>
      <c r="F65" s="22" t="n">
        <v>5</v>
      </c>
      <c r="G65" s="18" t="s">
        <v>58</v>
      </c>
      <c r="H65" s="20" t="str">
        <f aca="false">INDEX(Prix!$C$5:$C$79,MATCH($A65,Prix!$A$5:$A$79,0))</f>
        <v>ElectroDelivery</v>
      </c>
      <c r="I65" s="66" t="n">
        <f aca="false">IFERROR(INDEX(Prix!$G$5:$G$79,MATCH($A65,Prix!$A$5:$A$79,0)),"")</f>
        <v>3.5</v>
      </c>
      <c r="J65" s="23" t="n">
        <f aca="false">IF(I65="","",F65*I65)</f>
        <v>17.5</v>
      </c>
      <c r="K65" s="19" t="s">
        <v>430</v>
      </c>
      <c r="L65" s="24" t="s">
        <v>60</v>
      </c>
    </row>
    <row r="66" customFormat="false" ht="23.85" hidden="false" customHeight="false" outlineLevel="0" collapsed="false">
      <c r="A66" s="17" t="s">
        <v>266</v>
      </c>
      <c r="B66" s="18" t="s">
        <v>251</v>
      </c>
      <c r="C66" s="19" t="s">
        <v>267</v>
      </c>
      <c r="D66" s="19" t="s">
        <v>394</v>
      </c>
      <c r="E66" s="19" t="s">
        <v>539</v>
      </c>
      <c r="F66" s="22" t="n">
        <v>5</v>
      </c>
      <c r="G66" s="18" t="s">
        <v>58</v>
      </c>
      <c r="H66" s="20" t="str">
        <f aca="false">INDEX(Prix!$C$5:$C$79,MATCH($A66,Prix!$A$5:$A$79,0))</f>
        <v>ElectroDelivery</v>
      </c>
      <c r="I66" s="66" t="n">
        <f aca="false">IFERROR(INDEX(Prix!$G$5:$G$79,MATCH($A66,Prix!$A$5:$A$79,0)),"")</f>
        <v>8</v>
      </c>
      <c r="J66" s="23" t="n">
        <f aca="false">IF(I66="","",F66*I66)</f>
        <v>40</v>
      </c>
      <c r="K66" s="19" t="s">
        <v>540</v>
      </c>
      <c r="L66" s="24" t="s">
        <v>60</v>
      </c>
    </row>
  </sheetData>
  <autoFilter ref="A17:L66"/>
  <mergeCells count="5">
    <mergeCell ref="B5:K5"/>
    <mergeCell ref="B6:K6"/>
    <mergeCell ref="B7:K7"/>
    <mergeCell ref="B8:K8"/>
    <mergeCell ref="B9:K9"/>
  </mergeCells>
  <hyperlinks>
    <hyperlink ref="L18" r:id="rId1" display="lien"/>
    <hyperlink ref="L19" r:id="rId2" display="lien"/>
    <hyperlink ref="L20" r:id="rId3" display="lien"/>
    <hyperlink ref="L21" r:id="rId4" display="lien"/>
    <hyperlink ref="L22" r:id="rId5" display="lien"/>
    <hyperlink ref="L23" r:id="rId6" display="lien"/>
    <hyperlink ref="L24" r:id="rId7" display="lien"/>
    <hyperlink ref="L25" r:id="rId8" display="lien"/>
    <hyperlink ref="L26" r:id="rId9" display="lien"/>
    <hyperlink ref="L27" r:id="rId10" display="lien"/>
    <hyperlink ref="L28" r:id="rId11" display="lien"/>
    <hyperlink ref="L29" r:id="rId12" display="lien"/>
    <hyperlink ref="L30" r:id="rId13" display="lien"/>
    <hyperlink ref="L31" r:id="rId14" display="lien"/>
    <hyperlink ref="L32" r:id="rId15" display="lien"/>
    <hyperlink ref="L33" r:id="rId16" display="lien"/>
    <hyperlink ref="L34" r:id="rId17" display="lien"/>
    <hyperlink ref="L35" r:id="rId18" display="lien"/>
    <hyperlink ref="L36" r:id="rId19" display="lien"/>
    <hyperlink ref="L37" r:id="rId20" display="lien"/>
    <hyperlink ref="L38" r:id="rId21" display="lien"/>
    <hyperlink ref="L39" r:id="rId22" display="lien"/>
    <hyperlink ref="L40" r:id="rId23" display="lien"/>
    <hyperlink ref="L41" r:id="rId24" display="lien"/>
    <hyperlink ref="L42" r:id="rId25" display="lien"/>
    <hyperlink ref="L43" r:id="rId26" display="lien"/>
    <hyperlink ref="L44" r:id="rId27" display="lien"/>
    <hyperlink ref="L45" r:id="rId28" display="lien"/>
    <hyperlink ref="L46" r:id="rId29" display="lien"/>
    <hyperlink ref="L47" r:id="rId30" display="lien"/>
    <hyperlink ref="L48" r:id="rId31" display="lien"/>
    <hyperlink ref="L51" r:id="rId32" display="lien"/>
    <hyperlink ref="L52" r:id="rId33" display="lien"/>
    <hyperlink ref="L53" r:id="rId34" display="lien"/>
    <hyperlink ref="L54" r:id="rId35" display="lien"/>
    <hyperlink ref="L55" r:id="rId36" display="lien"/>
    <hyperlink ref="L56" r:id="rId37" display="lien"/>
    <hyperlink ref="L57" r:id="rId38" display="lien"/>
    <hyperlink ref="L58" r:id="rId39" display="lien"/>
    <hyperlink ref="L59" r:id="rId40" display="lien"/>
    <hyperlink ref="L60" r:id="rId41" display="lien"/>
    <hyperlink ref="L61" r:id="rId42" display="lien"/>
    <hyperlink ref="L63" r:id="rId43" display="lien"/>
    <hyperlink ref="L65" r:id="rId44" display="lien"/>
    <hyperlink ref="L66" r:id="rId45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7" topLeftCell="D18" activePane="bottomRight" state="frozen"/>
      <selection pane="topLeft" activeCell="A1" activeCellId="0" sqref="A1"/>
      <selection pane="topRight" activeCell="D1" activeCellId="0" sqref="D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58"/>
    <col collapsed="false" customWidth="true" hidden="false" outlineLevel="0" max="12" min="12" style="0" width="6"/>
  </cols>
  <sheetData>
    <row r="1" customFormat="false" ht="17.35" hidden="false" customHeight="false" outlineLevel="0" collapsed="false">
      <c r="A1" s="7" t="s">
        <v>541</v>
      </c>
    </row>
    <row r="2" customFormat="false" ht="15" hidden="false" customHeight="false" outlineLevel="0" collapsed="false">
      <c r="A2" s="8" t="s">
        <v>322</v>
      </c>
    </row>
    <row r="4" customFormat="false" ht="15" hidden="false" customHeight="false" outlineLevel="0" collapsed="false">
      <c r="A4" s="13" t="s">
        <v>323</v>
      </c>
    </row>
    <row r="5" customFormat="false" ht="27" hidden="false" customHeight="true" outlineLevel="0" collapsed="false">
      <c r="B5" s="65" t="s">
        <v>542</v>
      </c>
      <c r="C5" s="65"/>
      <c r="D5" s="65"/>
      <c r="E5" s="65"/>
      <c r="F5" s="65"/>
      <c r="G5" s="65"/>
      <c r="H5" s="65"/>
      <c r="I5" s="65"/>
      <c r="J5" s="65"/>
      <c r="K5" s="65"/>
    </row>
    <row r="6" customFormat="false" ht="15" hidden="false" customHeight="true" outlineLevel="0" collapsed="false">
      <c r="B6" s="65" t="s">
        <v>543</v>
      </c>
      <c r="C6" s="65"/>
      <c r="D6" s="65"/>
      <c r="E6" s="65"/>
      <c r="F6" s="65"/>
      <c r="G6" s="65"/>
      <c r="H6" s="65"/>
      <c r="I6" s="65"/>
      <c r="J6" s="65"/>
      <c r="K6" s="65"/>
    </row>
    <row r="7" customFormat="false" ht="15" hidden="false" customHeight="true" outlineLevel="0" collapsed="false">
      <c r="B7" s="65" t="s">
        <v>544</v>
      </c>
      <c r="C7" s="65"/>
      <c r="D7" s="65"/>
      <c r="E7" s="65"/>
      <c r="F7" s="65"/>
      <c r="G7" s="65"/>
      <c r="H7" s="65"/>
      <c r="I7" s="65"/>
      <c r="J7" s="65"/>
      <c r="K7" s="65"/>
    </row>
    <row r="8" customFormat="false" ht="15" hidden="false" customHeight="true" outlineLevel="0" collapsed="false">
      <c r="B8" s="65" t="s">
        <v>545</v>
      </c>
      <c r="C8" s="65"/>
      <c r="D8" s="65"/>
      <c r="E8" s="65"/>
      <c r="F8" s="65"/>
      <c r="G8" s="65"/>
      <c r="H8" s="65"/>
      <c r="I8" s="65"/>
      <c r="J8" s="65"/>
      <c r="K8" s="65"/>
    </row>
    <row r="9" customFormat="false" ht="15" hidden="false" customHeight="true" outlineLevel="0" collapsed="false">
      <c r="B9" s="65" t="s">
        <v>546</v>
      </c>
      <c r="C9" s="65"/>
      <c r="D9" s="65"/>
      <c r="E9" s="65"/>
      <c r="F9" s="65"/>
      <c r="G9" s="65"/>
      <c r="H9" s="65"/>
      <c r="I9" s="65"/>
      <c r="J9" s="65"/>
      <c r="K9" s="65"/>
    </row>
    <row r="11" customFormat="false" ht="15" hidden="false" customHeight="false" outlineLevel="0" collapsed="false">
      <c r="C11" s="9" t="s">
        <v>329</v>
      </c>
      <c r="D11" s="10"/>
      <c r="E11" s="10"/>
      <c r="F11" s="10"/>
      <c r="G11" s="10"/>
      <c r="H11" s="10"/>
      <c r="I11" s="10"/>
      <c r="J11" s="11" t="n">
        <f aca="false">SUMIFS(J18:J73,G18:G73,"À acheter")</f>
        <v>1189.4</v>
      </c>
    </row>
    <row r="12" customFormat="false" ht="15" hidden="false" customHeight="false" outlineLevel="0" collapsed="false">
      <c r="C12" s="9" t="s">
        <v>39</v>
      </c>
      <c r="D12" s="10"/>
      <c r="E12" s="10"/>
      <c r="F12" s="10"/>
      <c r="G12" s="10"/>
      <c r="H12" s="10"/>
      <c r="I12" s="10"/>
      <c r="J12" s="11" t="n">
        <f aca="false">SUMIFS(J18:J73,G18:G73,"Option")</f>
        <v>100</v>
      </c>
    </row>
    <row r="13" customFormat="false" ht="15" hidden="false" customHeight="false" outlineLevel="0" collapsed="false">
      <c r="C13" s="9" t="s">
        <v>31</v>
      </c>
      <c r="D13" s="10"/>
      <c r="E13" s="10"/>
      <c r="F13" s="10"/>
      <c r="G13" s="10"/>
      <c r="H13" s="10"/>
      <c r="I13" s="10"/>
      <c r="J13" s="11" t="n">
        <f aca="false">SUMIFS(J18:J73,G18:G73,"Déjà possédé")</f>
        <v>968</v>
      </c>
    </row>
    <row r="14" customFormat="false" ht="15" hidden="false" customHeight="false" outlineLevel="0" collapsed="false">
      <c r="C14" s="9" t="s">
        <v>330</v>
      </c>
      <c r="D14" s="10"/>
      <c r="E14" s="10"/>
      <c r="F14" s="10"/>
      <c r="G14" s="10"/>
      <c r="H14" s="10"/>
      <c r="I14" s="10"/>
      <c r="J14" s="12" t="n">
        <f aca="false">SUMPRODUCT((G18:G73="À acheter")*(I18:I73=""))</f>
        <v>5</v>
      </c>
    </row>
    <row r="17" customFormat="false" ht="30" hidden="false" customHeight="true" outlineLevel="0" collapsed="false">
      <c r="A17" s="16" t="s">
        <v>40</v>
      </c>
      <c r="B17" s="16" t="s">
        <v>41</v>
      </c>
      <c r="C17" s="16" t="s">
        <v>42</v>
      </c>
      <c r="D17" s="16" t="s">
        <v>331</v>
      </c>
      <c r="E17" s="16" t="s">
        <v>332</v>
      </c>
      <c r="F17" s="16" t="s">
        <v>333</v>
      </c>
      <c r="G17" s="16" t="s">
        <v>43</v>
      </c>
      <c r="H17" s="16" t="s">
        <v>51</v>
      </c>
      <c r="I17" s="16" t="s">
        <v>283</v>
      </c>
      <c r="J17" s="16" t="s">
        <v>50</v>
      </c>
      <c r="K17" s="16" t="s">
        <v>334</v>
      </c>
      <c r="L17" s="16" t="s">
        <v>54</v>
      </c>
    </row>
    <row r="18" customFormat="false" ht="23.85" hidden="false" customHeight="false" outlineLevel="0" collapsed="false">
      <c r="A18" s="17" t="s">
        <v>55</v>
      </c>
      <c r="B18" s="18" t="s">
        <v>56</v>
      </c>
      <c r="C18" s="19" t="s">
        <v>57</v>
      </c>
      <c r="D18" s="19" t="s">
        <v>302</v>
      </c>
      <c r="E18" s="19" t="s">
        <v>335</v>
      </c>
      <c r="F18" s="22" t="n">
        <v>1</v>
      </c>
      <c r="G18" s="18" t="s">
        <v>58</v>
      </c>
      <c r="H18" s="20" t="str">
        <f aca="false">INDEX(Prix!$C$5:$C$79,MATCH($A18,Prix!$A$5:$A$79,0))</f>
        <v>JLCPCB</v>
      </c>
      <c r="I18" s="66" t="str">
        <f aca="false">IFERROR(INDEX(Prix!$G$5:$G$79,MATCH($A18,Prix!$A$5:$A$79,0)),"")</f>
        <v/>
      </c>
      <c r="J18" s="23" t="str">
        <f aca="false">IF(I18="","",F18*I18)</f>
        <v/>
      </c>
      <c r="K18" s="19"/>
      <c r="L18" s="24" t="s">
        <v>60</v>
      </c>
    </row>
    <row r="19" customFormat="false" ht="23.85" hidden="false" customHeight="false" outlineLevel="0" collapsed="false">
      <c r="A19" s="17" t="s">
        <v>61</v>
      </c>
      <c r="B19" s="18" t="s">
        <v>56</v>
      </c>
      <c r="C19" s="19" t="s">
        <v>62</v>
      </c>
      <c r="D19" s="19" t="s">
        <v>336</v>
      </c>
      <c r="E19" s="19" t="s">
        <v>337</v>
      </c>
      <c r="F19" s="22" t="n">
        <v>1</v>
      </c>
      <c r="G19" s="18" t="s">
        <v>58</v>
      </c>
      <c r="H19" s="20" t="str">
        <f aca="false">INDEX(Prix!$C$5:$C$79,MATCH($A19,Prix!$A$5:$A$79,0))</f>
        <v>Shop4Makers</v>
      </c>
      <c r="I19" s="66" t="n">
        <f aca="false">IFERROR(INDEX(Prix!$G$5:$G$79,MATCH($A19,Prix!$A$5:$A$79,0)),"")</f>
        <v>113</v>
      </c>
      <c r="J19" s="23" t="n">
        <f aca="false">IF(I19="","",F19*I19)</f>
        <v>113</v>
      </c>
      <c r="K19" s="19" t="s">
        <v>338</v>
      </c>
      <c r="L19" s="24" t="s">
        <v>60</v>
      </c>
    </row>
    <row r="20" customFormat="false" ht="15" hidden="false" customHeight="false" outlineLevel="0" collapsed="false">
      <c r="A20" s="25" t="s">
        <v>64</v>
      </c>
      <c r="B20" s="26" t="s">
        <v>65</v>
      </c>
      <c r="C20" s="27" t="s">
        <v>66</v>
      </c>
      <c r="D20" s="27" t="s">
        <v>339</v>
      </c>
      <c r="E20" s="27" t="s">
        <v>340</v>
      </c>
      <c r="F20" s="30" t="n">
        <v>2</v>
      </c>
      <c r="G20" s="26" t="s">
        <v>58</v>
      </c>
      <c r="H20" s="28" t="str">
        <f aca="false">INDEX(Prix!$C$5:$C$79,MATCH($A20,Prix!$A$5:$A$79,0))</f>
        <v>MicroPlanet</v>
      </c>
      <c r="I20" s="67" t="n">
        <f aca="false">IFERROR(INDEX(Prix!$G$5:$G$79,MATCH($A20,Prix!$A$5:$A$79,0)),"")</f>
        <v>0.3</v>
      </c>
      <c r="J20" s="31" t="n">
        <f aca="false">IF(I20="","",F20*I20)</f>
        <v>0.6</v>
      </c>
      <c r="K20" s="27"/>
      <c r="L20" s="32" t="s">
        <v>60</v>
      </c>
    </row>
    <row r="21" customFormat="false" ht="35.05" hidden="false" customHeight="false" outlineLevel="0" collapsed="false">
      <c r="A21" s="25" t="s">
        <v>68</v>
      </c>
      <c r="B21" s="26" t="s">
        <v>65</v>
      </c>
      <c r="C21" s="27" t="s">
        <v>69</v>
      </c>
      <c r="D21" s="27" t="s">
        <v>482</v>
      </c>
      <c r="E21" s="27" t="s">
        <v>483</v>
      </c>
      <c r="F21" s="30" t="n">
        <v>24</v>
      </c>
      <c r="G21" s="26" t="s">
        <v>58</v>
      </c>
      <c r="H21" s="28" t="str">
        <f aca="false">INDEX(Prix!$C$5:$C$79,MATCH($A21,Prix!$A$5:$A$79,0))</f>
        <v>MicroPlanet</v>
      </c>
      <c r="I21" s="67" t="n">
        <f aca="false">IFERROR(INDEX(Prix!$G$5:$G$79,MATCH($A21,Prix!$A$5:$A$79,0)),"")</f>
        <v>0.3</v>
      </c>
      <c r="J21" s="31" t="n">
        <f aca="false">IF(I21="","",F21*I21)</f>
        <v>7.2</v>
      </c>
      <c r="K21" s="27"/>
      <c r="L21" s="32" t="s">
        <v>60</v>
      </c>
    </row>
    <row r="22" customFormat="false" ht="23.85" hidden="false" customHeight="false" outlineLevel="0" collapsed="false">
      <c r="A22" s="25" t="s">
        <v>70</v>
      </c>
      <c r="B22" s="26" t="s">
        <v>65</v>
      </c>
      <c r="C22" s="27" t="s">
        <v>71</v>
      </c>
      <c r="D22" s="27" t="s">
        <v>484</v>
      </c>
      <c r="E22" s="27" t="s">
        <v>485</v>
      </c>
      <c r="F22" s="30" t="n">
        <v>3</v>
      </c>
      <c r="G22" s="26" t="s">
        <v>58</v>
      </c>
      <c r="H22" s="28" t="str">
        <f aca="false">INDEX(Prix!$C$5:$C$79,MATCH($A22,Prix!$A$5:$A$79,0))</f>
        <v>MicroPlanet</v>
      </c>
      <c r="I22" s="67" t="n">
        <f aca="false">IFERROR(INDEX(Prix!$G$5:$G$79,MATCH($A22,Prix!$A$5:$A$79,0)),"")</f>
        <v>0.3</v>
      </c>
      <c r="J22" s="31" t="n">
        <f aca="false">IF(I22="","",F22*I22)</f>
        <v>0.9</v>
      </c>
      <c r="K22" s="27" t="s">
        <v>486</v>
      </c>
      <c r="L22" s="32" t="s">
        <v>60</v>
      </c>
    </row>
    <row r="23" customFormat="false" ht="23.85" hidden="false" customHeight="false" outlineLevel="0" collapsed="false">
      <c r="A23" s="25" t="s">
        <v>72</v>
      </c>
      <c r="B23" s="26" t="s">
        <v>65</v>
      </c>
      <c r="C23" s="27" t="s">
        <v>73</v>
      </c>
      <c r="D23" s="27" t="s">
        <v>343</v>
      </c>
      <c r="E23" s="27" t="s">
        <v>344</v>
      </c>
      <c r="F23" s="30" t="n">
        <v>3</v>
      </c>
      <c r="G23" s="26" t="s">
        <v>58</v>
      </c>
      <c r="H23" s="28" t="str">
        <f aca="false">INDEX(Prix!$C$5:$C$79,MATCH($A23,Prix!$A$5:$A$79,0))</f>
        <v>MicroPlanet</v>
      </c>
      <c r="I23" s="67" t="n">
        <f aca="false">IFERROR(INDEX(Prix!$G$5:$G$79,MATCH($A23,Prix!$A$5:$A$79,0)),"")</f>
        <v>0.3</v>
      </c>
      <c r="J23" s="31" t="n">
        <f aca="false">IF(I23="","",F23*I23)</f>
        <v>0.9</v>
      </c>
      <c r="K23" s="27"/>
      <c r="L23" s="32" t="s">
        <v>60</v>
      </c>
    </row>
    <row r="24" customFormat="false" ht="23.85" hidden="false" customHeight="false" outlineLevel="0" collapsed="false">
      <c r="A24" s="25" t="s">
        <v>74</v>
      </c>
      <c r="B24" s="26" t="s">
        <v>65</v>
      </c>
      <c r="C24" s="27" t="s">
        <v>75</v>
      </c>
      <c r="D24" s="27" t="s">
        <v>487</v>
      </c>
      <c r="E24" s="27" t="s">
        <v>442</v>
      </c>
      <c r="F24" s="30" t="n">
        <v>9</v>
      </c>
      <c r="G24" s="26" t="s">
        <v>58</v>
      </c>
      <c r="H24" s="28" t="str">
        <f aca="false">INDEX(Prix!$C$5:$C$79,MATCH($A24,Prix!$A$5:$A$79,0))</f>
        <v>MicroPlanet</v>
      </c>
      <c r="I24" s="67" t="n">
        <f aca="false">IFERROR(INDEX(Prix!$G$5:$G$79,MATCH($A24,Prix!$A$5:$A$79,0)),"")</f>
        <v>0.3</v>
      </c>
      <c r="J24" s="31" t="n">
        <f aca="false">IF(I24="","",F24*I24)</f>
        <v>2.7</v>
      </c>
      <c r="K24" s="27"/>
      <c r="L24" s="32" t="s">
        <v>60</v>
      </c>
    </row>
    <row r="25" customFormat="false" ht="15" hidden="false" customHeight="false" outlineLevel="0" collapsed="false">
      <c r="A25" s="25" t="s">
        <v>76</v>
      </c>
      <c r="B25" s="26" t="s">
        <v>65</v>
      </c>
      <c r="C25" s="27" t="s">
        <v>77</v>
      </c>
      <c r="D25" s="27" t="s">
        <v>347</v>
      </c>
      <c r="E25" s="27" t="s">
        <v>348</v>
      </c>
      <c r="F25" s="30" t="n">
        <v>1</v>
      </c>
      <c r="G25" s="26" t="s">
        <v>58</v>
      </c>
      <c r="H25" s="28" t="str">
        <f aca="false">INDEX(Prix!$C$5:$C$79,MATCH($A25,Prix!$A$5:$A$79,0))</f>
        <v>MicroPlanet</v>
      </c>
      <c r="I25" s="67" t="n">
        <f aca="false">IFERROR(INDEX(Prix!$G$5:$G$79,MATCH($A25,Prix!$A$5:$A$79,0)),"")</f>
        <v>0.3</v>
      </c>
      <c r="J25" s="31" t="n">
        <f aca="false">IF(I25="","",F25*I25)</f>
        <v>0.3</v>
      </c>
      <c r="K25" s="27"/>
      <c r="L25" s="32" t="s">
        <v>60</v>
      </c>
    </row>
    <row r="26" customFormat="false" ht="35.05" hidden="false" customHeight="false" outlineLevel="0" collapsed="false">
      <c r="A26" s="25" t="s">
        <v>78</v>
      </c>
      <c r="B26" s="26" t="s">
        <v>65</v>
      </c>
      <c r="C26" s="27" t="s">
        <v>79</v>
      </c>
      <c r="D26" s="27" t="s">
        <v>547</v>
      </c>
      <c r="E26" s="27" t="s">
        <v>548</v>
      </c>
      <c r="F26" s="30" t="n">
        <v>5</v>
      </c>
      <c r="G26" s="26" t="s">
        <v>58</v>
      </c>
      <c r="H26" s="28" t="str">
        <f aca="false">INDEX(Prix!$C$5:$C$79,MATCH($A26,Prix!$A$5:$A$79,0))</f>
        <v>MicroPlanet</v>
      </c>
      <c r="I26" s="67" t="n">
        <f aca="false">IFERROR(INDEX(Prix!$G$5:$G$79,MATCH($A26,Prix!$A$5:$A$79,0)),"")</f>
        <v>0.3</v>
      </c>
      <c r="J26" s="31" t="n">
        <f aca="false">IF(I26="","",F26*I26)</f>
        <v>1.5</v>
      </c>
      <c r="K26" s="27"/>
      <c r="L26" s="32" t="s">
        <v>60</v>
      </c>
    </row>
    <row r="27" customFormat="false" ht="23.85" hidden="false" customHeight="false" outlineLevel="0" collapsed="false">
      <c r="A27" s="17" t="s">
        <v>80</v>
      </c>
      <c r="B27" s="18" t="s">
        <v>81</v>
      </c>
      <c r="C27" s="19" t="s">
        <v>82</v>
      </c>
      <c r="D27" s="19" t="s">
        <v>549</v>
      </c>
      <c r="E27" s="19" t="s">
        <v>550</v>
      </c>
      <c r="F27" s="22" t="n">
        <v>4</v>
      </c>
      <c r="G27" s="18" t="s">
        <v>58</v>
      </c>
      <c r="H27" s="20" t="str">
        <f aca="false">INDEX(Prix!$C$5:$C$79,MATCH($A27,Prix!$A$5:$A$79,0))</f>
        <v>A2itronic</v>
      </c>
      <c r="I27" s="66" t="n">
        <f aca="false">IFERROR(INDEX(Prix!$G$5:$G$79,MATCH($A27,Prix!$A$5:$A$79,0)),"")</f>
        <v>0.5</v>
      </c>
      <c r="J27" s="23" t="n">
        <f aca="false">IF(I27="","",F27*I27)</f>
        <v>2</v>
      </c>
      <c r="K27" s="19"/>
      <c r="L27" s="24" t="s">
        <v>60</v>
      </c>
    </row>
    <row r="28" customFormat="false" ht="15" hidden="false" customHeight="false" outlineLevel="0" collapsed="false">
      <c r="A28" s="17" t="s">
        <v>84</v>
      </c>
      <c r="B28" s="18" t="s">
        <v>81</v>
      </c>
      <c r="C28" s="19" t="s">
        <v>85</v>
      </c>
      <c r="D28" s="19" t="s">
        <v>353</v>
      </c>
      <c r="E28" s="19" t="s">
        <v>354</v>
      </c>
      <c r="F28" s="22" t="n">
        <v>1</v>
      </c>
      <c r="G28" s="18" t="s">
        <v>58</v>
      </c>
      <c r="H28" s="20" t="str">
        <f aca="false">INDEX(Prix!$C$5:$C$79,MATCH($A28,Prix!$A$5:$A$79,0))</f>
        <v>A2itronic</v>
      </c>
      <c r="I28" s="66" t="n">
        <f aca="false">IFERROR(INDEX(Prix!$G$5:$G$79,MATCH($A28,Prix!$A$5:$A$79,0)),"")</f>
        <v>1</v>
      </c>
      <c r="J28" s="23" t="n">
        <f aca="false">IF(I28="","",F28*I28)</f>
        <v>1</v>
      </c>
      <c r="K28" s="19"/>
      <c r="L28" s="24" t="s">
        <v>60</v>
      </c>
    </row>
    <row r="29" customFormat="false" ht="15" hidden="false" customHeight="false" outlineLevel="0" collapsed="false">
      <c r="A29" s="17" t="s">
        <v>87</v>
      </c>
      <c r="B29" s="18" t="s">
        <v>81</v>
      </c>
      <c r="C29" s="19" t="s">
        <v>88</v>
      </c>
      <c r="D29" s="19" t="s">
        <v>355</v>
      </c>
      <c r="E29" s="19" t="s">
        <v>356</v>
      </c>
      <c r="F29" s="22" t="n">
        <v>1</v>
      </c>
      <c r="G29" s="18" t="s">
        <v>58</v>
      </c>
      <c r="H29" s="20" t="str">
        <f aca="false">INDEX(Prix!$C$5:$C$79,MATCH($A29,Prix!$A$5:$A$79,0))</f>
        <v>A2itronic</v>
      </c>
      <c r="I29" s="66" t="n">
        <f aca="false">IFERROR(INDEX(Prix!$G$5:$G$79,MATCH($A29,Prix!$A$5:$A$79,0)),"")</f>
        <v>1</v>
      </c>
      <c r="J29" s="23" t="n">
        <f aca="false">IF(I29="","",F29*I29)</f>
        <v>1</v>
      </c>
      <c r="K29" s="19"/>
      <c r="L29" s="24" t="s">
        <v>60</v>
      </c>
    </row>
    <row r="30" customFormat="false" ht="23.85" hidden="false" customHeight="false" outlineLevel="0" collapsed="false">
      <c r="A30" s="17" t="s">
        <v>90</v>
      </c>
      <c r="B30" s="18" t="s">
        <v>81</v>
      </c>
      <c r="C30" s="19" t="s">
        <v>91</v>
      </c>
      <c r="D30" s="19" t="s">
        <v>357</v>
      </c>
      <c r="E30" s="19" t="s">
        <v>358</v>
      </c>
      <c r="F30" s="22" t="n">
        <v>1</v>
      </c>
      <c r="G30" s="18" t="s">
        <v>58</v>
      </c>
      <c r="H30" s="20" t="str">
        <f aca="false">INDEX(Prix!$C$5:$C$79,MATCH($A30,Prix!$A$5:$A$79,0))</f>
        <v>A2itronic</v>
      </c>
      <c r="I30" s="66" t="n">
        <f aca="false">IFERROR(INDEX(Prix!$G$5:$G$79,MATCH($A30,Prix!$A$5:$A$79,0)),"")</f>
        <v>2</v>
      </c>
      <c r="J30" s="23" t="n">
        <f aca="false">IF(I30="","",F30*I30)</f>
        <v>2</v>
      </c>
      <c r="K30" s="19"/>
      <c r="L30" s="24" t="s">
        <v>60</v>
      </c>
    </row>
    <row r="31" customFormat="false" ht="23.85" hidden="false" customHeight="false" outlineLevel="0" collapsed="false">
      <c r="A31" s="17" t="s">
        <v>93</v>
      </c>
      <c r="B31" s="18" t="s">
        <v>81</v>
      </c>
      <c r="C31" s="19" t="s">
        <v>94</v>
      </c>
      <c r="D31" s="19" t="s">
        <v>551</v>
      </c>
      <c r="E31" s="19" t="s">
        <v>552</v>
      </c>
      <c r="F31" s="22" t="n">
        <v>1</v>
      </c>
      <c r="G31" s="18" t="s">
        <v>58</v>
      </c>
      <c r="H31" s="20" t="str">
        <f aca="false">INDEX(Prix!$C$5:$C$79,MATCH($A31,Prix!$A$5:$A$79,0))</f>
        <v>A2itronic</v>
      </c>
      <c r="I31" s="66" t="n">
        <f aca="false">IFERROR(INDEX(Prix!$G$5:$G$79,MATCH($A31,Prix!$A$5:$A$79,0)),"")</f>
        <v>2</v>
      </c>
      <c r="J31" s="23" t="n">
        <f aca="false">IF(I31="","",F31*I31)</f>
        <v>2</v>
      </c>
      <c r="K31" s="19"/>
      <c r="L31" s="24" t="s">
        <v>60</v>
      </c>
    </row>
    <row r="32" customFormat="false" ht="23.85" hidden="false" customHeight="false" outlineLevel="0" collapsed="false">
      <c r="A32" s="17" t="s">
        <v>96</v>
      </c>
      <c r="B32" s="18" t="s">
        <v>81</v>
      </c>
      <c r="C32" s="19" t="s">
        <v>97</v>
      </c>
      <c r="D32" s="19" t="s">
        <v>359</v>
      </c>
      <c r="E32" s="19" t="s">
        <v>360</v>
      </c>
      <c r="F32" s="22" t="n">
        <v>1</v>
      </c>
      <c r="G32" s="18" t="s">
        <v>58</v>
      </c>
      <c r="H32" s="20" t="str">
        <f aca="false">INDEX(Prix!$C$5:$C$79,MATCH($A32,Prix!$A$5:$A$79,0))</f>
        <v>A2itronic</v>
      </c>
      <c r="I32" s="66" t="n">
        <f aca="false">IFERROR(INDEX(Prix!$G$5:$G$79,MATCH($A32,Prix!$A$5:$A$79,0)),"")</f>
        <v>3</v>
      </c>
      <c r="J32" s="23" t="n">
        <f aca="false">IF(I32="","",F32*I32)</f>
        <v>3</v>
      </c>
      <c r="K32" s="19"/>
      <c r="L32" s="24" t="s">
        <v>60</v>
      </c>
    </row>
    <row r="33" customFormat="false" ht="23.85" hidden="false" customHeight="false" outlineLevel="0" collapsed="false">
      <c r="A33" s="25" t="s">
        <v>99</v>
      </c>
      <c r="B33" s="26" t="s">
        <v>100</v>
      </c>
      <c r="C33" s="27" t="s">
        <v>101</v>
      </c>
      <c r="D33" s="27" t="s">
        <v>492</v>
      </c>
      <c r="E33" s="27" t="s">
        <v>444</v>
      </c>
      <c r="F33" s="30" t="n">
        <v>6</v>
      </c>
      <c r="G33" s="26" t="s">
        <v>58</v>
      </c>
      <c r="H33" s="28" t="str">
        <f aca="false">INDEX(Prix!$C$5:$C$79,MATCH($A33,Prix!$A$5:$A$79,0))</f>
        <v>Shop4Makers</v>
      </c>
      <c r="I33" s="67" t="n">
        <f aca="false">IFERROR(INDEX(Prix!$G$5:$G$79,MATCH($A33,Prix!$A$5:$A$79,0)),"")</f>
        <v>0.9</v>
      </c>
      <c r="J33" s="31" t="n">
        <f aca="false">IF(I33="","",F33*I33)</f>
        <v>5.4</v>
      </c>
      <c r="K33" s="27"/>
      <c r="L33" s="32" t="s">
        <v>60</v>
      </c>
    </row>
    <row r="34" customFormat="false" ht="23.85" hidden="false" customHeight="false" outlineLevel="0" collapsed="false">
      <c r="A34" s="25" t="s">
        <v>102</v>
      </c>
      <c r="B34" s="26" t="s">
        <v>100</v>
      </c>
      <c r="C34" s="27" t="s">
        <v>103</v>
      </c>
      <c r="D34" s="27" t="s">
        <v>361</v>
      </c>
      <c r="E34" s="27" t="s">
        <v>362</v>
      </c>
      <c r="F34" s="30" t="n">
        <v>1</v>
      </c>
      <c r="G34" s="26" t="s">
        <v>58</v>
      </c>
      <c r="H34" s="28" t="str">
        <f aca="false">INDEX(Prix!$C$5:$C$79,MATCH($A34,Prix!$A$5:$A$79,0))</f>
        <v>Moussasoft</v>
      </c>
      <c r="I34" s="67" t="n">
        <f aca="false">IFERROR(INDEX(Prix!$G$5:$G$79,MATCH($A34,Prix!$A$5:$A$79,0)),"")</f>
        <v>2</v>
      </c>
      <c r="J34" s="31" t="n">
        <f aca="false">IF(I34="","",F34*I34)</f>
        <v>2</v>
      </c>
      <c r="K34" s="27"/>
      <c r="L34" s="32" t="s">
        <v>60</v>
      </c>
    </row>
    <row r="35" customFormat="false" ht="23.85" hidden="false" customHeight="false" outlineLevel="0" collapsed="false">
      <c r="A35" s="33" t="s">
        <v>105</v>
      </c>
      <c r="B35" s="34" t="s">
        <v>100</v>
      </c>
      <c r="C35" s="35" t="s">
        <v>106</v>
      </c>
      <c r="D35" s="35" t="s">
        <v>363</v>
      </c>
      <c r="E35" s="35" t="s">
        <v>364</v>
      </c>
      <c r="F35" s="38" t="n">
        <v>1</v>
      </c>
      <c r="G35" s="34" t="s">
        <v>58</v>
      </c>
      <c r="H35" s="36" t="str">
        <f aca="false">INDEX(Prix!$C$5:$C$79,MATCH($A35,Prix!$A$5:$A$79,0))</f>
        <v>LCSC</v>
      </c>
      <c r="I35" s="68" t="str">
        <f aca="false">IFERROR(INDEX(Prix!$G$5:$G$79,MATCH($A35,Prix!$A$5:$A$79,0)),"")</f>
        <v/>
      </c>
      <c r="J35" s="39" t="str">
        <f aca="false">IF(I35="","",F35*I35)</f>
        <v/>
      </c>
      <c r="K35" s="35" t="s">
        <v>365</v>
      </c>
      <c r="L35" s="40" t="s">
        <v>60</v>
      </c>
    </row>
    <row r="36" customFormat="false" ht="23.85" hidden="false" customHeight="false" outlineLevel="0" collapsed="false">
      <c r="A36" s="33" t="s">
        <v>108</v>
      </c>
      <c r="B36" s="34" t="s">
        <v>100</v>
      </c>
      <c r="C36" s="35" t="s">
        <v>109</v>
      </c>
      <c r="D36" s="35" t="s">
        <v>553</v>
      </c>
      <c r="E36" s="35" t="s">
        <v>554</v>
      </c>
      <c r="F36" s="38" t="n">
        <v>1</v>
      </c>
      <c r="G36" s="34" t="s">
        <v>58</v>
      </c>
      <c r="H36" s="36" t="str">
        <f aca="false">INDEX(Prix!$C$5:$C$79,MATCH($A36,Prix!$A$5:$A$79,0))</f>
        <v>LCSC</v>
      </c>
      <c r="I36" s="68" t="str">
        <f aca="false">IFERROR(INDEX(Prix!$G$5:$G$79,MATCH($A36,Prix!$A$5:$A$79,0)),"")</f>
        <v/>
      </c>
      <c r="J36" s="39" t="str">
        <f aca="false">IF(I36="","",F36*I36)</f>
        <v/>
      </c>
      <c r="K36" s="35"/>
      <c r="L36" s="40" t="s">
        <v>60</v>
      </c>
    </row>
    <row r="37" customFormat="false" ht="23.85" hidden="false" customHeight="false" outlineLevel="0" collapsed="false">
      <c r="A37" s="25" t="s">
        <v>111</v>
      </c>
      <c r="B37" s="26" t="s">
        <v>100</v>
      </c>
      <c r="C37" s="27" t="s">
        <v>112</v>
      </c>
      <c r="D37" s="27" t="s">
        <v>555</v>
      </c>
      <c r="E37" s="27" t="s">
        <v>556</v>
      </c>
      <c r="F37" s="30" t="n">
        <v>1</v>
      </c>
      <c r="G37" s="26" t="s">
        <v>58</v>
      </c>
      <c r="H37" s="28" t="str">
        <f aca="false">INDEX(Prix!$C$5:$C$79,MATCH($A37,Prix!$A$5:$A$79,0))</f>
        <v>MicroPlanet</v>
      </c>
      <c r="I37" s="67" t="n">
        <f aca="false">IFERROR(INDEX(Prix!$G$5:$G$79,MATCH($A37,Prix!$A$5:$A$79,0)),"")</f>
        <v>2</v>
      </c>
      <c r="J37" s="31" t="n">
        <f aca="false">IF(I37="","",F37*I37)</f>
        <v>2</v>
      </c>
      <c r="K37" s="27"/>
      <c r="L37" s="32" t="s">
        <v>60</v>
      </c>
    </row>
    <row r="38" customFormat="false" ht="23.85" hidden="false" customHeight="false" outlineLevel="0" collapsed="false">
      <c r="A38" s="25" t="s">
        <v>114</v>
      </c>
      <c r="B38" s="26" t="s">
        <v>100</v>
      </c>
      <c r="C38" s="27" t="s">
        <v>115</v>
      </c>
      <c r="D38" s="27" t="s">
        <v>493</v>
      </c>
      <c r="E38" s="27" t="s">
        <v>446</v>
      </c>
      <c r="F38" s="30" t="n">
        <v>7</v>
      </c>
      <c r="G38" s="26" t="s">
        <v>58</v>
      </c>
      <c r="H38" s="28" t="str">
        <f aca="false">INDEX(Prix!$C$5:$C$79,MATCH($A38,Prix!$A$5:$A$79,0))</f>
        <v>A2itronic</v>
      </c>
      <c r="I38" s="67" t="n">
        <f aca="false">IFERROR(INDEX(Prix!$G$5:$G$79,MATCH($A38,Prix!$A$5:$A$79,0)),"")</f>
        <v>1</v>
      </c>
      <c r="J38" s="31" t="n">
        <f aca="false">IF(I38="","",F38*I38)</f>
        <v>7</v>
      </c>
      <c r="K38" s="27" t="s">
        <v>368</v>
      </c>
      <c r="L38" s="32" t="s">
        <v>60</v>
      </c>
    </row>
    <row r="39" customFormat="false" ht="35.05" hidden="false" customHeight="false" outlineLevel="0" collapsed="false">
      <c r="A39" s="25" t="s">
        <v>117</v>
      </c>
      <c r="B39" s="26" t="s">
        <v>100</v>
      </c>
      <c r="C39" s="27" t="s">
        <v>118</v>
      </c>
      <c r="D39" s="27" t="s">
        <v>557</v>
      </c>
      <c r="E39" s="27" t="s">
        <v>558</v>
      </c>
      <c r="F39" s="30" t="n">
        <v>3</v>
      </c>
      <c r="G39" s="26" t="s">
        <v>58</v>
      </c>
      <c r="H39" s="28" t="str">
        <f aca="false">INDEX(Prix!$C$5:$C$79,MATCH($A39,Prix!$A$5:$A$79,0))</f>
        <v>A2itronic</v>
      </c>
      <c r="I39" s="67" t="n">
        <f aca="false">IFERROR(INDEX(Prix!$G$5:$G$79,MATCH($A39,Prix!$A$5:$A$79,0)),"")</f>
        <v>10</v>
      </c>
      <c r="J39" s="31" t="n">
        <f aca="false">IF(I39="","",F39*I39)</f>
        <v>30</v>
      </c>
      <c r="K39" s="27" t="s">
        <v>371</v>
      </c>
      <c r="L39" s="32" t="s">
        <v>60</v>
      </c>
    </row>
    <row r="40" customFormat="false" ht="23.85" hidden="false" customHeight="false" outlineLevel="0" collapsed="false">
      <c r="A40" s="25" t="s">
        <v>120</v>
      </c>
      <c r="B40" s="26" t="s">
        <v>100</v>
      </c>
      <c r="C40" s="27" t="s">
        <v>121</v>
      </c>
      <c r="D40" s="27" t="s">
        <v>372</v>
      </c>
      <c r="E40" s="27" t="s">
        <v>373</v>
      </c>
      <c r="F40" s="30" t="n">
        <v>1</v>
      </c>
      <c r="G40" s="26" t="s">
        <v>58</v>
      </c>
      <c r="H40" s="28" t="str">
        <f aca="false">INDEX(Prix!$C$5:$C$79,MATCH($A40,Prix!$A$5:$A$79,0))</f>
        <v>Megma</v>
      </c>
      <c r="I40" s="67" t="n">
        <f aca="false">IFERROR(INDEX(Prix!$G$5:$G$79,MATCH($A40,Prix!$A$5:$A$79,0)),"")</f>
        <v>7.5</v>
      </c>
      <c r="J40" s="31" t="n">
        <f aca="false">IF(I40="","",F40*I40)</f>
        <v>7.5</v>
      </c>
      <c r="K40" s="27" t="s">
        <v>374</v>
      </c>
      <c r="L40" s="32" t="s">
        <v>60</v>
      </c>
    </row>
    <row r="41" customFormat="false" ht="23.85" hidden="false" customHeight="false" outlineLevel="0" collapsed="false">
      <c r="A41" s="25" t="s">
        <v>123</v>
      </c>
      <c r="B41" s="26" t="s">
        <v>100</v>
      </c>
      <c r="C41" s="27" t="s">
        <v>124</v>
      </c>
      <c r="D41" s="27" t="s">
        <v>494</v>
      </c>
      <c r="E41" s="27" t="s">
        <v>448</v>
      </c>
      <c r="F41" s="30" t="n">
        <v>6</v>
      </c>
      <c r="G41" s="26" t="s">
        <v>58</v>
      </c>
      <c r="H41" s="28" t="str">
        <f aca="false">INDEX(Prix!$C$5:$C$79,MATCH($A41,Prix!$A$5:$A$79,0))</f>
        <v>Moussasoft</v>
      </c>
      <c r="I41" s="67" t="n">
        <f aca="false">IFERROR(INDEX(Prix!$G$5:$G$79,MATCH($A41,Prix!$A$5:$A$79,0)),"")</f>
        <v>1</v>
      </c>
      <c r="J41" s="31" t="n">
        <f aca="false">IF(I41="","",F41*I41)</f>
        <v>6</v>
      </c>
      <c r="K41" s="27"/>
      <c r="L41" s="32" t="s">
        <v>60</v>
      </c>
    </row>
    <row r="42" customFormat="false" ht="15" hidden="false" customHeight="false" outlineLevel="0" collapsed="false">
      <c r="A42" s="25" t="s">
        <v>125</v>
      </c>
      <c r="B42" s="26" t="s">
        <v>100</v>
      </c>
      <c r="C42" s="27" t="s">
        <v>126</v>
      </c>
      <c r="D42" s="27" t="s">
        <v>495</v>
      </c>
      <c r="E42" s="27" t="s">
        <v>496</v>
      </c>
      <c r="F42" s="30" t="n">
        <v>1</v>
      </c>
      <c r="G42" s="26" t="s">
        <v>58</v>
      </c>
      <c r="H42" s="28" t="str">
        <f aca="false">INDEX(Prix!$C$5:$C$79,MATCH($A42,Prix!$A$5:$A$79,0))</f>
        <v>Shop4Makers</v>
      </c>
      <c r="I42" s="67" t="n">
        <f aca="false">IFERROR(INDEX(Prix!$G$5:$G$79,MATCH($A42,Prix!$A$5:$A$79,0)),"")</f>
        <v>0.9</v>
      </c>
      <c r="J42" s="31" t="n">
        <f aca="false">IF(I42="","",F42*I42)</f>
        <v>0.9</v>
      </c>
      <c r="K42" s="27" t="s">
        <v>497</v>
      </c>
      <c r="L42" s="32" t="s">
        <v>60</v>
      </c>
    </row>
    <row r="43" customFormat="false" ht="23.85" hidden="false" customHeight="false" outlineLevel="0" collapsed="false">
      <c r="A43" s="17" t="s">
        <v>127</v>
      </c>
      <c r="B43" s="18" t="s">
        <v>128</v>
      </c>
      <c r="C43" s="19" t="s">
        <v>129</v>
      </c>
      <c r="D43" s="19" t="s">
        <v>498</v>
      </c>
      <c r="E43" s="19" t="s">
        <v>450</v>
      </c>
      <c r="F43" s="22" t="n">
        <v>6</v>
      </c>
      <c r="G43" s="18" t="s">
        <v>58</v>
      </c>
      <c r="H43" s="20" t="str">
        <f aca="false">INDEX(Prix!$C$5:$C$79,MATCH($A43,Prix!$A$5:$A$79,0))</f>
        <v>Moussasoft</v>
      </c>
      <c r="I43" s="66" t="n">
        <f aca="false">IFERROR(INDEX(Prix!$G$5:$G$79,MATCH($A43,Prix!$A$5:$A$79,0)),"")</f>
        <v>18</v>
      </c>
      <c r="J43" s="23" t="n">
        <f aca="false">IF(I43="","",F43*I43)</f>
        <v>108</v>
      </c>
      <c r="K43" s="19"/>
      <c r="L43" s="24" t="s">
        <v>60</v>
      </c>
    </row>
    <row r="44" customFormat="false" ht="35.05" hidden="false" customHeight="false" outlineLevel="0" collapsed="false">
      <c r="A44" s="25" t="s">
        <v>143</v>
      </c>
      <c r="B44" s="26" t="s">
        <v>144</v>
      </c>
      <c r="C44" s="27" t="s">
        <v>145</v>
      </c>
      <c r="D44" s="27" t="s">
        <v>559</v>
      </c>
      <c r="E44" s="27" t="s">
        <v>376</v>
      </c>
      <c r="F44" s="30" t="n">
        <v>8</v>
      </c>
      <c r="G44" s="26" t="s">
        <v>58</v>
      </c>
      <c r="H44" s="28" t="str">
        <f aca="false">INDEX(Prix!$C$5:$C$79,MATCH($A44,Prix!$A$5:$A$79,0))</f>
        <v>MicroPlanet</v>
      </c>
      <c r="I44" s="67" t="n">
        <f aca="false">IFERROR(INDEX(Prix!$G$5:$G$79,MATCH($A44,Prix!$A$5:$A$79,0)),"")</f>
        <v>2</v>
      </c>
      <c r="J44" s="31" t="n">
        <f aca="false">IF(I44="","",F44*I44)</f>
        <v>16</v>
      </c>
      <c r="K44" s="27" t="s">
        <v>560</v>
      </c>
      <c r="L44" s="32" t="s">
        <v>60</v>
      </c>
    </row>
    <row r="45" customFormat="false" ht="23.85" hidden="false" customHeight="false" outlineLevel="0" collapsed="false">
      <c r="A45" s="25" t="s">
        <v>147</v>
      </c>
      <c r="B45" s="26" t="s">
        <v>144</v>
      </c>
      <c r="C45" s="27" t="s">
        <v>148</v>
      </c>
      <c r="D45" s="27" t="s">
        <v>510</v>
      </c>
      <c r="E45" s="27" t="s">
        <v>511</v>
      </c>
      <c r="F45" s="30" t="n">
        <v>8</v>
      </c>
      <c r="G45" s="26" t="s">
        <v>58</v>
      </c>
      <c r="H45" s="28" t="str">
        <f aca="false">INDEX(Prix!$C$5:$C$79,MATCH($A45,Prix!$A$5:$A$79,0))</f>
        <v>MicroPlanet</v>
      </c>
      <c r="I45" s="67" t="n">
        <f aca="false">IFERROR(INDEX(Prix!$G$5:$G$79,MATCH($A45,Prix!$A$5:$A$79,0)),"")</f>
        <v>3</v>
      </c>
      <c r="J45" s="31" t="n">
        <f aca="false">IF(I45="","",F45*I45)</f>
        <v>24</v>
      </c>
      <c r="K45" s="27"/>
      <c r="L45" s="32" t="s">
        <v>60</v>
      </c>
    </row>
    <row r="46" customFormat="false" ht="23.85" hidden="false" customHeight="false" outlineLevel="0" collapsed="false">
      <c r="A46" s="25" t="s">
        <v>150</v>
      </c>
      <c r="B46" s="26" t="s">
        <v>144</v>
      </c>
      <c r="C46" s="27" t="s">
        <v>151</v>
      </c>
      <c r="D46" s="27" t="s">
        <v>512</v>
      </c>
      <c r="E46" s="27" t="s">
        <v>513</v>
      </c>
      <c r="F46" s="30" t="n">
        <v>3</v>
      </c>
      <c r="G46" s="26" t="s">
        <v>58</v>
      </c>
      <c r="H46" s="28" t="str">
        <f aca="false">INDEX(Prix!$C$5:$C$79,MATCH($A46,Prix!$A$5:$A$79,0))</f>
        <v>MicroPlanet</v>
      </c>
      <c r="I46" s="67" t="n">
        <f aca="false">IFERROR(INDEX(Prix!$G$5:$G$79,MATCH($A46,Prix!$A$5:$A$79,0)),"")</f>
        <v>5</v>
      </c>
      <c r="J46" s="31" t="n">
        <f aca="false">IF(I46="","",F46*I46)</f>
        <v>15</v>
      </c>
      <c r="K46" s="27"/>
      <c r="L46" s="32" t="s">
        <v>60</v>
      </c>
    </row>
    <row r="47" customFormat="false" ht="35.05" hidden="false" customHeight="false" outlineLevel="0" collapsed="false">
      <c r="A47" s="25" t="s">
        <v>153</v>
      </c>
      <c r="B47" s="26" t="s">
        <v>144</v>
      </c>
      <c r="C47" s="27" t="s">
        <v>154</v>
      </c>
      <c r="D47" s="27" t="s">
        <v>561</v>
      </c>
      <c r="E47" s="27" t="s">
        <v>562</v>
      </c>
      <c r="F47" s="30" t="n">
        <v>2</v>
      </c>
      <c r="G47" s="26" t="s">
        <v>58</v>
      </c>
      <c r="H47" s="28" t="str">
        <f aca="false">INDEX(Prix!$C$5:$C$79,MATCH($A47,Prix!$A$5:$A$79,0))</f>
        <v>Moussasoft</v>
      </c>
      <c r="I47" s="67" t="n">
        <f aca="false">IFERROR(INDEX(Prix!$G$5:$G$79,MATCH($A47,Prix!$A$5:$A$79,0)),"")</f>
        <v>5</v>
      </c>
      <c r="J47" s="31" t="n">
        <f aca="false">IF(I47="","",F47*I47)</f>
        <v>10</v>
      </c>
      <c r="K47" s="27" t="s">
        <v>563</v>
      </c>
      <c r="L47" s="32" t="s">
        <v>60</v>
      </c>
    </row>
    <row r="48" customFormat="false" ht="35.05" hidden="false" customHeight="false" outlineLevel="0" collapsed="false">
      <c r="A48" s="25" t="s">
        <v>156</v>
      </c>
      <c r="B48" s="26" t="s">
        <v>144</v>
      </c>
      <c r="C48" s="27" t="s">
        <v>157</v>
      </c>
      <c r="D48" s="27" t="s">
        <v>564</v>
      </c>
      <c r="E48" s="27" t="s">
        <v>384</v>
      </c>
      <c r="F48" s="30" t="n">
        <v>2</v>
      </c>
      <c r="G48" s="26" t="s">
        <v>58</v>
      </c>
      <c r="H48" s="28" t="str">
        <f aca="false">INDEX(Prix!$C$5:$C$79,MATCH($A48,Prix!$A$5:$A$79,0))</f>
        <v>Moussasoft</v>
      </c>
      <c r="I48" s="67" t="n">
        <f aca="false">IFERROR(INDEX(Prix!$G$5:$G$79,MATCH($A48,Prix!$A$5:$A$79,0)),"")</f>
        <v>4</v>
      </c>
      <c r="J48" s="31" t="n">
        <f aca="false">IF(I48="","",F48*I48)</f>
        <v>8</v>
      </c>
      <c r="K48" s="27" t="s">
        <v>565</v>
      </c>
      <c r="L48" s="32" t="s">
        <v>60</v>
      </c>
    </row>
    <row r="49" customFormat="false" ht="23.85" hidden="false" customHeight="false" outlineLevel="0" collapsed="false">
      <c r="A49" s="25" t="s">
        <v>158</v>
      </c>
      <c r="B49" s="26" t="s">
        <v>144</v>
      </c>
      <c r="C49" s="27" t="s">
        <v>159</v>
      </c>
      <c r="D49" s="27" t="s">
        <v>386</v>
      </c>
      <c r="E49" s="27" t="s">
        <v>387</v>
      </c>
      <c r="F49" s="30" t="n">
        <v>8</v>
      </c>
      <c r="G49" s="26" t="s">
        <v>58</v>
      </c>
      <c r="H49" s="28" t="str">
        <f aca="false">INDEX(Prix!$C$5:$C$79,MATCH($A49,Prix!$A$5:$A$79,0))</f>
        <v>Shop4Makers</v>
      </c>
      <c r="I49" s="67" t="n">
        <f aca="false">IFERROR(INDEX(Prix!$G$5:$G$79,MATCH($A49,Prix!$A$5:$A$79,0)),"")</f>
        <v>0.5</v>
      </c>
      <c r="J49" s="31" t="n">
        <f aca="false">IF(I49="","",F49*I49)</f>
        <v>4</v>
      </c>
      <c r="K49" s="27" t="s">
        <v>566</v>
      </c>
      <c r="L49" s="32" t="s">
        <v>60</v>
      </c>
    </row>
    <row r="50" customFormat="false" ht="23.85" hidden="false" customHeight="false" outlineLevel="0" collapsed="false">
      <c r="A50" s="25" t="s">
        <v>164</v>
      </c>
      <c r="B50" s="26" t="s">
        <v>144</v>
      </c>
      <c r="C50" s="27" t="s">
        <v>165</v>
      </c>
      <c r="D50" s="27" t="s">
        <v>389</v>
      </c>
      <c r="E50" s="27" t="s">
        <v>390</v>
      </c>
      <c r="F50" s="30" t="n">
        <v>1</v>
      </c>
      <c r="G50" s="26" t="s">
        <v>58</v>
      </c>
      <c r="H50" s="28" t="str">
        <f aca="false">INDEX(Prix!$C$5:$C$79,MATCH($A50,Prix!$A$5:$A$79,0))</f>
        <v>—</v>
      </c>
      <c r="I50" s="67" t="n">
        <f aca="false">IFERROR(INDEX(Prix!$G$5:$G$79,MATCH($A50,Prix!$A$5:$A$79,0)),"")</f>
        <v>0</v>
      </c>
      <c r="J50" s="31" t="n">
        <f aca="false">IF(I50="","",F50*I50)</f>
        <v>0</v>
      </c>
      <c r="K50" s="72" t="s">
        <v>391</v>
      </c>
      <c r="L50" s="26"/>
    </row>
    <row r="51" customFormat="false" ht="23.85" hidden="false" customHeight="false" outlineLevel="0" collapsed="false">
      <c r="A51" s="25" t="s">
        <v>167</v>
      </c>
      <c r="B51" s="26" t="s">
        <v>144</v>
      </c>
      <c r="C51" s="27" t="s">
        <v>168</v>
      </c>
      <c r="D51" s="27" t="s">
        <v>392</v>
      </c>
      <c r="E51" s="27" t="s">
        <v>393</v>
      </c>
      <c r="F51" s="30" t="n">
        <v>4</v>
      </c>
      <c r="G51" s="26" t="s">
        <v>58</v>
      </c>
      <c r="H51" s="28" t="str">
        <f aca="false">INDEX(Prix!$C$5:$C$79,MATCH($A51,Prix!$A$5:$A$79,0))</f>
        <v>—</v>
      </c>
      <c r="I51" s="67" t="n">
        <f aca="false">IFERROR(INDEX(Prix!$G$5:$G$79,MATCH($A51,Prix!$A$5:$A$79,0)),"")</f>
        <v>0</v>
      </c>
      <c r="J51" s="31" t="n">
        <f aca="false">IF(I51="","",F51*I51)</f>
        <v>0</v>
      </c>
      <c r="K51" s="27"/>
      <c r="L51" s="26"/>
    </row>
    <row r="52" customFormat="false" ht="15" hidden="false" customHeight="false" outlineLevel="0" collapsed="false">
      <c r="A52" s="17" t="s">
        <v>170</v>
      </c>
      <c r="B52" s="18" t="s">
        <v>171</v>
      </c>
      <c r="C52" s="19" t="s">
        <v>172</v>
      </c>
      <c r="D52" s="19" t="s">
        <v>394</v>
      </c>
      <c r="E52" s="19" t="s">
        <v>519</v>
      </c>
      <c r="F52" s="22" t="n">
        <v>1</v>
      </c>
      <c r="G52" s="18" t="s">
        <v>58</v>
      </c>
      <c r="H52" s="20" t="str">
        <f aca="false">INDEX(Prix!$C$5:$C$79,MATCH($A52,Prix!$A$5:$A$79,0))</f>
        <v>Shop4Makers</v>
      </c>
      <c r="I52" s="66" t="n">
        <f aca="false">IFERROR(INDEX(Prix!$G$5:$G$79,MATCH($A52,Prix!$A$5:$A$79,0)),"")</f>
        <v>16.2</v>
      </c>
      <c r="J52" s="23" t="n">
        <f aca="false">IF(I52="","",F52*I52)</f>
        <v>16.2</v>
      </c>
      <c r="K52" s="19" t="s">
        <v>520</v>
      </c>
      <c r="L52" s="24" t="s">
        <v>60</v>
      </c>
    </row>
    <row r="53" customFormat="false" ht="15" hidden="false" customHeight="false" outlineLevel="0" collapsed="false">
      <c r="A53" s="17" t="s">
        <v>178</v>
      </c>
      <c r="B53" s="18" t="s">
        <v>171</v>
      </c>
      <c r="C53" s="19" t="s">
        <v>179</v>
      </c>
      <c r="D53" s="19" t="s">
        <v>394</v>
      </c>
      <c r="E53" s="19" t="s">
        <v>567</v>
      </c>
      <c r="F53" s="22" t="n">
        <v>1</v>
      </c>
      <c r="G53" s="18" t="s">
        <v>58</v>
      </c>
      <c r="H53" s="20" t="str">
        <f aca="false">INDEX(Prix!$C$5:$C$79,MATCH($A53,Prix!$A$5:$A$79,0))</f>
        <v>A2itronic</v>
      </c>
      <c r="I53" s="66" t="n">
        <f aca="false">IFERROR(INDEX(Prix!$G$5:$G$79,MATCH($A53,Prix!$A$5:$A$79,0)),"")</f>
        <v>50</v>
      </c>
      <c r="J53" s="23" t="n">
        <f aca="false">IF(I53="","",F53*I53)</f>
        <v>50</v>
      </c>
      <c r="K53" s="19" t="s">
        <v>568</v>
      </c>
      <c r="L53" s="24" t="s">
        <v>60</v>
      </c>
    </row>
    <row r="54" customFormat="false" ht="15" hidden="false" customHeight="false" outlineLevel="0" collapsed="false">
      <c r="A54" s="17" t="s">
        <v>181</v>
      </c>
      <c r="B54" s="18" t="s">
        <v>171</v>
      </c>
      <c r="C54" s="19" t="s">
        <v>182</v>
      </c>
      <c r="D54" s="19" t="s">
        <v>394</v>
      </c>
      <c r="E54" s="19" t="s">
        <v>523</v>
      </c>
      <c r="F54" s="22" t="n">
        <v>1</v>
      </c>
      <c r="G54" s="18" t="s">
        <v>58</v>
      </c>
      <c r="H54" s="20" t="str">
        <f aca="false">INDEX(Prix!$C$5:$C$79,MATCH($A54,Prix!$A$5:$A$79,0))</f>
        <v>Moussasoft</v>
      </c>
      <c r="I54" s="66" t="n">
        <f aca="false">IFERROR(INDEX(Prix!$G$5:$G$79,MATCH($A54,Prix!$A$5:$A$79,0)),"")</f>
        <v>2</v>
      </c>
      <c r="J54" s="23" t="n">
        <f aca="false">IF(I54="","",F54*I54)</f>
        <v>2</v>
      </c>
      <c r="K54" s="19" t="s">
        <v>465</v>
      </c>
      <c r="L54" s="24" t="s">
        <v>60</v>
      </c>
    </row>
    <row r="55" customFormat="false" ht="23.85" hidden="false" customHeight="false" outlineLevel="0" collapsed="false">
      <c r="A55" s="17" t="s">
        <v>190</v>
      </c>
      <c r="B55" s="18" t="s">
        <v>171</v>
      </c>
      <c r="C55" s="19" t="s">
        <v>191</v>
      </c>
      <c r="D55" s="19" t="s">
        <v>394</v>
      </c>
      <c r="E55" s="19" t="s">
        <v>524</v>
      </c>
      <c r="F55" s="22" t="n">
        <v>3</v>
      </c>
      <c r="G55" s="18" t="s">
        <v>58</v>
      </c>
      <c r="H55" s="20" t="str">
        <f aca="false">INDEX(Prix!$C$5:$C$79,MATCH($A55,Prix!$A$5:$A$79,0))</f>
        <v>Moussasoft</v>
      </c>
      <c r="I55" s="66" t="n">
        <f aca="false">IFERROR(INDEX(Prix!$G$5:$G$79,MATCH($A55,Prix!$A$5:$A$79,0)),"")</f>
        <v>25</v>
      </c>
      <c r="J55" s="23" t="n">
        <f aca="false">IF(I55="","",F55*I55)</f>
        <v>75</v>
      </c>
      <c r="K55" s="69" t="s">
        <v>569</v>
      </c>
      <c r="L55" s="24" t="s">
        <v>60</v>
      </c>
    </row>
    <row r="56" customFormat="false" ht="15" hidden="false" customHeight="false" outlineLevel="0" collapsed="false">
      <c r="A56" s="17" t="s">
        <v>192</v>
      </c>
      <c r="B56" s="18" t="s">
        <v>171</v>
      </c>
      <c r="C56" s="19" t="s">
        <v>193</v>
      </c>
      <c r="D56" s="19" t="s">
        <v>394</v>
      </c>
      <c r="E56" s="19" t="s">
        <v>526</v>
      </c>
      <c r="F56" s="22" t="n">
        <v>2</v>
      </c>
      <c r="G56" s="18" t="s">
        <v>58</v>
      </c>
      <c r="H56" s="20" t="str">
        <f aca="false">INDEX(Prix!$C$5:$C$79,MATCH($A56,Prix!$A$5:$A$79,0))</f>
        <v>Moussasoft</v>
      </c>
      <c r="I56" s="66" t="n">
        <f aca="false">IFERROR(INDEX(Prix!$G$5:$G$79,MATCH($A56,Prix!$A$5:$A$79,0)),"")</f>
        <v>30</v>
      </c>
      <c r="J56" s="23" t="n">
        <f aca="false">IF(I56="","",F56*I56)</f>
        <v>60</v>
      </c>
      <c r="K56" s="19" t="s">
        <v>527</v>
      </c>
      <c r="L56" s="24" t="s">
        <v>60</v>
      </c>
    </row>
    <row r="57" customFormat="false" ht="15" hidden="false" customHeight="false" outlineLevel="0" collapsed="false">
      <c r="A57" s="17" t="s">
        <v>195</v>
      </c>
      <c r="B57" s="18" t="s">
        <v>171</v>
      </c>
      <c r="C57" s="19" t="s">
        <v>196</v>
      </c>
      <c r="D57" s="19" t="s">
        <v>394</v>
      </c>
      <c r="E57" s="19" t="s">
        <v>409</v>
      </c>
      <c r="F57" s="22" t="n">
        <v>1</v>
      </c>
      <c r="G57" s="18" t="s">
        <v>58</v>
      </c>
      <c r="H57" s="20" t="str">
        <f aca="false">INDEX(Prix!$C$5:$C$79,MATCH($A57,Prix!$A$5:$A$79,0))</f>
        <v>Shop4Makers</v>
      </c>
      <c r="I57" s="66" t="n">
        <f aca="false">IFERROR(INDEX(Prix!$G$5:$G$79,MATCH($A57,Prix!$A$5:$A$79,0)),"")</f>
        <v>70</v>
      </c>
      <c r="J57" s="23" t="n">
        <f aca="false">IF(I57="","",F57*I57)</f>
        <v>70</v>
      </c>
      <c r="K57" s="19"/>
      <c r="L57" s="24" t="s">
        <v>60</v>
      </c>
    </row>
    <row r="58" customFormat="false" ht="15" hidden="false" customHeight="false" outlineLevel="0" collapsed="false">
      <c r="A58" s="17" t="s">
        <v>198</v>
      </c>
      <c r="B58" s="18" t="s">
        <v>171</v>
      </c>
      <c r="C58" s="19" t="s">
        <v>199</v>
      </c>
      <c r="D58" s="19" t="s">
        <v>394</v>
      </c>
      <c r="E58" s="19" t="s">
        <v>528</v>
      </c>
      <c r="F58" s="22" t="n">
        <v>1</v>
      </c>
      <c r="G58" s="18" t="s">
        <v>58</v>
      </c>
      <c r="H58" s="20" t="str">
        <f aca="false">INDEX(Prix!$C$5:$C$79,MATCH($A58,Prix!$A$5:$A$79,0))</f>
        <v>A2itronic</v>
      </c>
      <c r="I58" s="66" t="n">
        <f aca="false">IFERROR(INDEX(Prix!$G$5:$G$79,MATCH($A58,Prix!$A$5:$A$79,0)),"")</f>
        <v>29</v>
      </c>
      <c r="J58" s="23" t="n">
        <f aca="false">IF(I58="","",F58*I58)</f>
        <v>29</v>
      </c>
      <c r="K58" s="19" t="s">
        <v>570</v>
      </c>
      <c r="L58" s="24" t="s">
        <v>60</v>
      </c>
    </row>
    <row r="59" customFormat="false" ht="15" hidden="false" customHeight="false" outlineLevel="0" collapsed="false">
      <c r="A59" s="17" t="s">
        <v>201</v>
      </c>
      <c r="B59" s="18" t="s">
        <v>171</v>
      </c>
      <c r="C59" s="19" t="s">
        <v>202</v>
      </c>
      <c r="D59" s="19" t="s">
        <v>394</v>
      </c>
      <c r="E59" s="19" t="s">
        <v>530</v>
      </c>
      <c r="F59" s="22" t="n">
        <v>1</v>
      </c>
      <c r="G59" s="18" t="s">
        <v>58</v>
      </c>
      <c r="H59" s="20" t="str">
        <f aca="false">INDEX(Prix!$C$5:$C$79,MATCH($A59,Prix!$A$5:$A$79,0))</f>
        <v>Shop4Makers</v>
      </c>
      <c r="I59" s="66" t="n">
        <f aca="false">IFERROR(INDEX(Prix!$G$5:$G$79,MATCH($A59,Prix!$A$5:$A$79,0)),"")</f>
        <v>3</v>
      </c>
      <c r="J59" s="23" t="n">
        <f aca="false">IF(I59="","",F59*I59)</f>
        <v>3</v>
      </c>
      <c r="K59" s="19"/>
      <c r="L59" s="24" t="s">
        <v>60</v>
      </c>
    </row>
    <row r="60" customFormat="false" ht="23.85" hidden="false" customHeight="false" outlineLevel="0" collapsed="false">
      <c r="A60" s="17" t="s">
        <v>203</v>
      </c>
      <c r="B60" s="18" t="s">
        <v>171</v>
      </c>
      <c r="C60" s="19" t="s">
        <v>204</v>
      </c>
      <c r="D60" s="19" t="s">
        <v>394</v>
      </c>
      <c r="E60" s="19" t="s">
        <v>571</v>
      </c>
      <c r="F60" s="22" t="n">
        <v>1</v>
      </c>
      <c r="G60" s="18" t="s">
        <v>58</v>
      </c>
      <c r="H60" s="20" t="str">
        <f aca="false">INDEX(Prix!$C$5:$C$79,MATCH($A60,Prix!$A$5:$A$79,0))</f>
        <v>Shop4Makers</v>
      </c>
      <c r="I60" s="66" t="n">
        <f aca="false">IFERROR(INDEX(Prix!$G$5:$G$79,MATCH($A60,Prix!$A$5:$A$79,0)),"")</f>
        <v>50</v>
      </c>
      <c r="J60" s="23" t="n">
        <f aca="false">IF(I60="","",F60*I60)</f>
        <v>50</v>
      </c>
      <c r="K60" s="19" t="s">
        <v>572</v>
      </c>
      <c r="L60" s="24" t="s">
        <v>60</v>
      </c>
    </row>
    <row r="61" customFormat="false" ht="23.85" hidden="false" customHeight="false" outlineLevel="0" collapsed="false">
      <c r="A61" s="41" t="s">
        <v>203</v>
      </c>
      <c r="B61" s="42" t="s">
        <v>171</v>
      </c>
      <c r="C61" s="43" t="s">
        <v>204</v>
      </c>
      <c r="D61" s="43" t="s">
        <v>394</v>
      </c>
      <c r="E61" s="43" t="s">
        <v>573</v>
      </c>
      <c r="F61" s="46" t="n">
        <v>2</v>
      </c>
      <c r="G61" s="42" t="s">
        <v>176</v>
      </c>
      <c r="H61" s="44" t="str">
        <f aca="false">INDEX(Prix!$C$5:$C$79,MATCH($A61,Prix!$A$5:$A$79,0))</f>
        <v>Shop4Makers</v>
      </c>
      <c r="I61" s="70" t="n">
        <f aca="false">IFERROR(INDEX(Prix!$G$5:$G$79,MATCH($A61,Prix!$A$5:$A$79,0)),"")</f>
        <v>50</v>
      </c>
      <c r="J61" s="47" t="n">
        <f aca="false">IF(I61="","",F61*I61)</f>
        <v>100</v>
      </c>
      <c r="K61" s="43" t="s">
        <v>574</v>
      </c>
      <c r="L61" s="48" t="s">
        <v>60</v>
      </c>
    </row>
    <row r="62" customFormat="false" ht="23.85" hidden="false" customHeight="false" outlineLevel="0" collapsed="false">
      <c r="A62" s="17" t="s">
        <v>209</v>
      </c>
      <c r="B62" s="18" t="s">
        <v>171</v>
      </c>
      <c r="C62" s="19" t="s">
        <v>210</v>
      </c>
      <c r="D62" s="19" t="s">
        <v>394</v>
      </c>
      <c r="E62" s="19" t="s">
        <v>575</v>
      </c>
      <c r="F62" s="22" t="n">
        <v>2</v>
      </c>
      <c r="G62" s="18" t="s">
        <v>58</v>
      </c>
      <c r="H62" s="20" t="str">
        <f aca="false">INDEX(Prix!$C$5:$C$79,MATCH($A62,Prix!$A$5:$A$79,0))</f>
        <v>Shop4Makers</v>
      </c>
      <c r="I62" s="66" t="n">
        <f aca="false">IFERROR(INDEX(Prix!$G$5:$G$79,MATCH($A62,Prix!$A$5:$A$79,0)),"")</f>
        <v>0.9</v>
      </c>
      <c r="J62" s="23" t="n">
        <f aca="false">IF(I62="","",F62*I62)</f>
        <v>1.8</v>
      </c>
      <c r="K62" s="19" t="s">
        <v>576</v>
      </c>
      <c r="L62" s="24" t="s">
        <v>60</v>
      </c>
    </row>
    <row r="63" customFormat="false" ht="23.85" hidden="false" customHeight="false" outlineLevel="0" collapsed="false">
      <c r="A63" s="25" t="s">
        <v>232</v>
      </c>
      <c r="B63" s="26" t="s">
        <v>212</v>
      </c>
      <c r="C63" s="27" t="s">
        <v>233</v>
      </c>
      <c r="D63" s="27" t="s">
        <v>394</v>
      </c>
      <c r="E63" s="27" t="s">
        <v>577</v>
      </c>
      <c r="F63" s="30" t="n">
        <v>1</v>
      </c>
      <c r="G63" s="26" t="s">
        <v>58</v>
      </c>
      <c r="H63" s="28" t="str">
        <f aca="false">INDEX(Prix!$C$5:$C$79,MATCH($A63,Prix!$A$5:$A$79,0))</f>
        <v>Shop4Makers</v>
      </c>
      <c r="I63" s="67" t="n">
        <f aca="false">IFERROR(INDEX(Prix!$G$5:$G$79,MATCH($A63,Prix!$A$5:$A$79,0)),"")</f>
        <v>25</v>
      </c>
      <c r="J63" s="31" t="n">
        <f aca="false">IF(I63="","",F63*I63)</f>
        <v>25</v>
      </c>
      <c r="K63" s="27" t="s">
        <v>578</v>
      </c>
      <c r="L63" s="32" t="s">
        <v>60</v>
      </c>
    </row>
    <row r="64" customFormat="false" ht="23.85" hidden="false" customHeight="false" outlineLevel="0" collapsed="false">
      <c r="A64" s="25" t="s">
        <v>235</v>
      </c>
      <c r="B64" s="26" t="s">
        <v>212</v>
      </c>
      <c r="C64" s="27" t="s">
        <v>236</v>
      </c>
      <c r="D64" s="27" t="s">
        <v>394</v>
      </c>
      <c r="E64" s="27" t="s">
        <v>579</v>
      </c>
      <c r="F64" s="30" t="n">
        <v>1</v>
      </c>
      <c r="G64" s="26" t="s">
        <v>58</v>
      </c>
      <c r="H64" s="28" t="str">
        <f aca="false">INDEX(Prix!$C$5:$C$79,MATCH($A64,Prix!$A$5:$A$79,0))</f>
        <v>Accessoires auto</v>
      </c>
      <c r="I64" s="67" t="str">
        <f aca="false">IFERROR(INDEX(Prix!$G$5:$G$79,MATCH($A64,Prix!$A$5:$A$79,0)),"")</f>
        <v/>
      </c>
      <c r="J64" s="31" t="str">
        <f aca="false">IF(I64="","",F64*I64)</f>
        <v/>
      </c>
      <c r="K64" s="72" t="s">
        <v>580</v>
      </c>
      <c r="L64" s="26"/>
    </row>
    <row r="65" customFormat="false" ht="23.85" hidden="false" customHeight="false" outlineLevel="0" collapsed="false">
      <c r="A65" s="49" t="s">
        <v>238</v>
      </c>
      <c r="B65" s="50" t="s">
        <v>212</v>
      </c>
      <c r="C65" s="51" t="s">
        <v>239</v>
      </c>
      <c r="D65" s="51" t="s">
        <v>394</v>
      </c>
      <c r="E65" s="51" t="s">
        <v>581</v>
      </c>
      <c r="F65" s="54" t="n">
        <v>1</v>
      </c>
      <c r="G65" s="50" t="s">
        <v>214</v>
      </c>
      <c r="H65" s="52" t="str">
        <f aca="false">INDEX(Prix!$C$5:$C$79,MATCH($A65,Prix!$A$5:$A$79,0))</f>
        <v>Jumia.ma</v>
      </c>
      <c r="I65" s="71" t="n">
        <f aca="false">IFERROR(INDEX(Prix!$G$5:$G$79,MATCH($A65,Prix!$A$5:$A$79,0)),"")</f>
        <v>490</v>
      </c>
      <c r="J65" s="55" t="n">
        <f aca="false">IF(I65="","",F65*I65)</f>
        <v>490</v>
      </c>
      <c r="K65" s="51" t="s">
        <v>582</v>
      </c>
      <c r="L65" s="56" t="s">
        <v>60</v>
      </c>
    </row>
    <row r="66" customFormat="false" ht="23.85" hidden="false" customHeight="false" outlineLevel="0" collapsed="false">
      <c r="A66" s="49" t="s">
        <v>241</v>
      </c>
      <c r="B66" s="50" t="s">
        <v>212</v>
      </c>
      <c r="C66" s="51" t="s">
        <v>242</v>
      </c>
      <c r="D66" s="51" t="s">
        <v>394</v>
      </c>
      <c r="E66" s="51" t="s">
        <v>583</v>
      </c>
      <c r="F66" s="54" t="n">
        <v>1</v>
      </c>
      <c r="G66" s="50" t="s">
        <v>214</v>
      </c>
      <c r="H66" s="52" t="str">
        <f aca="false">INDEX(Prix!$C$5:$C$79,MATCH($A66,Prix!$A$5:$A$79,0))</f>
        <v>Jumia.ma (AM NEWS)</v>
      </c>
      <c r="I66" s="71" t="n">
        <f aca="false">IFERROR(INDEX(Prix!$G$5:$G$79,MATCH($A66,Prix!$A$5:$A$79,0)),"")</f>
        <v>299</v>
      </c>
      <c r="J66" s="55" t="n">
        <f aca="false">IF(I66="","",F66*I66)</f>
        <v>299</v>
      </c>
      <c r="K66" s="51" t="s">
        <v>584</v>
      </c>
      <c r="L66" s="56" t="s">
        <v>60</v>
      </c>
    </row>
    <row r="67" customFormat="false" ht="15" hidden="false" customHeight="false" outlineLevel="0" collapsed="false">
      <c r="A67" s="49" t="s">
        <v>244</v>
      </c>
      <c r="B67" s="50" t="s">
        <v>212</v>
      </c>
      <c r="C67" s="51" t="s">
        <v>245</v>
      </c>
      <c r="D67" s="51" t="s">
        <v>394</v>
      </c>
      <c r="E67" s="51" t="s">
        <v>585</v>
      </c>
      <c r="F67" s="54" t="n">
        <v>1</v>
      </c>
      <c r="G67" s="50" t="s">
        <v>214</v>
      </c>
      <c r="H67" s="52" t="str">
        <f aca="false">INDEX(Prix!$C$5:$C$79,MATCH($A67,Prix!$A$5:$A$79,0))</f>
        <v>Jumia.ma (XARIUM TECH)</v>
      </c>
      <c r="I67" s="71" t="n">
        <f aca="false">IFERROR(INDEX(Prix!$G$5:$G$79,MATCH($A67,Prix!$A$5:$A$79,0)),"")</f>
        <v>179</v>
      </c>
      <c r="J67" s="55" t="n">
        <f aca="false">IF(I67="","",F67*I67)</f>
        <v>179</v>
      </c>
      <c r="K67" s="51" t="s">
        <v>584</v>
      </c>
      <c r="L67" s="56" t="s">
        <v>60</v>
      </c>
    </row>
    <row r="68" customFormat="false" ht="23.85" hidden="false" customHeight="false" outlineLevel="0" collapsed="false">
      <c r="A68" s="17" t="s">
        <v>250</v>
      </c>
      <c r="B68" s="18" t="s">
        <v>251</v>
      </c>
      <c r="C68" s="19" t="s">
        <v>252</v>
      </c>
      <c r="D68" s="19" t="s">
        <v>421</v>
      </c>
      <c r="E68" s="19" t="s">
        <v>422</v>
      </c>
      <c r="F68" s="22" t="n">
        <v>7</v>
      </c>
      <c r="G68" s="18" t="s">
        <v>58</v>
      </c>
      <c r="H68" s="20" t="str">
        <f aca="false">INDEX(Prix!$C$5:$C$79,MATCH($A68,Prix!$A$5:$A$79,0))</f>
        <v>Dsindustrie</v>
      </c>
      <c r="I68" s="66" t="n">
        <f aca="false">IFERROR(INDEX(Prix!$G$5:$G$79,MATCH($A68,Prix!$A$5:$A$79,0)),"")</f>
        <v>2</v>
      </c>
      <c r="J68" s="23" t="n">
        <f aca="false">IF(I68="","",F68*I68)</f>
        <v>14</v>
      </c>
      <c r="K68" s="19"/>
      <c r="L68" s="24" t="s">
        <v>60</v>
      </c>
    </row>
    <row r="69" customFormat="false" ht="15" hidden="false" customHeight="false" outlineLevel="0" collapsed="false">
      <c r="A69" s="17" t="s">
        <v>254</v>
      </c>
      <c r="B69" s="18" t="s">
        <v>251</v>
      </c>
      <c r="C69" s="19" t="s">
        <v>255</v>
      </c>
      <c r="D69" s="19" t="s">
        <v>423</v>
      </c>
      <c r="E69" s="19" t="s">
        <v>424</v>
      </c>
      <c r="F69" s="22" t="n">
        <v>7</v>
      </c>
      <c r="G69" s="18" t="s">
        <v>58</v>
      </c>
      <c r="H69" s="20" t="str">
        <f aca="false">INDEX(Prix!$C$5:$C$79,MATCH($A69,Prix!$A$5:$A$79,0))</f>
        <v>Dsindustrie</v>
      </c>
      <c r="I69" s="66" t="n">
        <f aca="false">IFERROR(INDEX(Prix!$G$5:$G$79,MATCH($A69,Prix!$A$5:$A$79,0)),"")</f>
        <v>0</v>
      </c>
      <c r="J69" s="23" t="n">
        <f aca="false">IF(I69="","",F69*I69)</f>
        <v>0</v>
      </c>
      <c r="K69" s="19"/>
      <c r="L69" s="18"/>
    </row>
    <row r="70" customFormat="false" ht="23.85" hidden="false" customHeight="false" outlineLevel="0" collapsed="false">
      <c r="A70" s="17" t="s">
        <v>257</v>
      </c>
      <c r="B70" s="18" t="s">
        <v>251</v>
      </c>
      <c r="C70" s="19" t="s">
        <v>258</v>
      </c>
      <c r="D70" s="19" t="s">
        <v>394</v>
      </c>
      <c r="E70" s="19" t="s">
        <v>586</v>
      </c>
      <c r="F70" s="22" t="n">
        <v>1</v>
      </c>
      <c r="G70" s="18" t="s">
        <v>58</v>
      </c>
      <c r="H70" s="20" t="str">
        <f aca="false">INDEX(Prix!$C$5:$C$79,MATCH($A70,Prix!$A$5:$A$79,0))</f>
        <v>EnergyMarket</v>
      </c>
      <c r="I70" s="66" t="n">
        <f aca="false">IFERROR(INDEX(Prix!$G$5:$G$79,MATCH($A70,Prix!$A$5:$A$79,0)),"")</f>
        <v>352</v>
      </c>
      <c r="J70" s="23" t="n">
        <f aca="false">IF(I70="","",F70*I70)</f>
        <v>352</v>
      </c>
      <c r="K70" s="19"/>
      <c r="L70" s="24" t="s">
        <v>60</v>
      </c>
    </row>
    <row r="71" customFormat="false" ht="15" hidden="false" customHeight="false" outlineLevel="0" collapsed="false">
      <c r="A71" s="17" t="s">
        <v>260</v>
      </c>
      <c r="B71" s="18" t="s">
        <v>251</v>
      </c>
      <c r="C71" s="19" t="s">
        <v>261</v>
      </c>
      <c r="D71" s="19" t="s">
        <v>394</v>
      </c>
      <c r="E71" s="19" t="s">
        <v>587</v>
      </c>
      <c r="F71" s="22" t="n">
        <v>8</v>
      </c>
      <c r="G71" s="18" t="s">
        <v>58</v>
      </c>
      <c r="H71" s="20" t="str">
        <f aca="false">INDEX(Prix!$C$5:$C$79,MATCH($A71,Prix!$A$5:$A$79,0))</f>
        <v>Quincaillerie</v>
      </c>
      <c r="I71" s="66" t="str">
        <f aca="false">IFERROR(INDEX(Prix!$G$5:$G$79,MATCH($A71,Prix!$A$5:$A$79,0)),"")</f>
        <v/>
      </c>
      <c r="J71" s="23" t="str">
        <f aca="false">IF(I71="","",F71*I71)</f>
        <v/>
      </c>
      <c r="K71" s="19"/>
      <c r="L71" s="18"/>
    </row>
    <row r="72" customFormat="false" ht="15" hidden="false" customHeight="false" outlineLevel="0" collapsed="false">
      <c r="A72" s="17" t="s">
        <v>263</v>
      </c>
      <c r="B72" s="18" t="s">
        <v>251</v>
      </c>
      <c r="C72" s="19" t="s">
        <v>264</v>
      </c>
      <c r="D72" s="19" t="s">
        <v>394</v>
      </c>
      <c r="E72" s="19" t="s">
        <v>429</v>
      </c>
      <c r="F72" s="22" t="n">
        <v>5</v>
      </c>
      <c r="G72" s="18" t="s">
        <v>58</v>
      </c>
      <c r="H72" s="20" t="str">
        <f aca="false">INDEX(Prix!$C$5:$C$79,MATCH($A72,Prix!$A$5:$A$79,0))</f>
        <v>ElectroDelivery</v>
      </c>
      <c r="I72" s="66" t="n">
        <f aca="false">IFERROR(INDEX(Prix!$G$5:$G$79,MATCH($A72,Prix!$A$5:$A$79,0)),"")</f>
        <v>3.5</v>
      </c>
      <c r="J72" s="23" t="n">
        <f aca="false">IF(I72="","",F72*I72)</f>
        <v>17.5</v>
      </c>
      <c r="K72" s="19" t="s">
        <v>430</v>
      </c>
      <c r="L72" s="24" t="s">
        <v>60</v>
      </c>
    </row>
    <row r="73" customFormat="false" ht="15" hidden="false" customHeight="false" outlineLevel="0" collapsed="false">
      <c r="A73" s="17" t="s">
        <v>266</v>
      </c>
      <c r="B73" s="18" t="s">
        <v>251</v>
      </c>
      <c r="C73" s="19" t="s">
        <v>267</v>
      </c>
      <c r="D73" s="19" t="s">
        <v>394</v>
      </c>
      <c r="E73" s="19" t="s">
        <v>588</v>
      </c>
      <c r="F73" s="22" t="n">
        <v>5</v>
      </c>
      <c r="G73" s="18" t="s">
        <v>58</v>
      </c>
      <c r="H73" s="20" t="str">
        <f aca="false">INDEX(Prix!$C$5:$C$79,MATCH($A73,Prix!$A$5:$A$79,0))</f>
        <v>ElectroDelivery</v>
      </c>
      <c r="I73" s="66" t="n">
        <f aca="false">IFERROR(INDEX(Prix!$G$5:$G$79,MATCH($A73,Prix!$A$5:$A$79,0)),"")</f>
        <v>8</v>
      </c>
      <c r="J73" s="23" t="n">
        <f aca="false">IF(I73="","",F73*I73)</f>
        <v>40</v>
      </c>
      <c r="K73" s="19" t="s">
        <v>589</v>
      </c>
      <c r="L73" s="24" t="s">
        <v>60</v>
      </c>
    </row>
  </sheetData>
  <autoFilter ref="A17:L73"/>
  <mergeCells count="5">
    <mergeCell ref="B5:K5"/>
    <mergeCell ref="B6:K6"/>
    <mergeCell ref="B7:K7"/>
    <mergeCell ref="B8:K8"/>
    <mergeCell ref="B9:K9"/>
  </mergeCells>
  <hyperlinks>
    <hyperlink ref="L18" r:id="rId1" display="lien"/>
    <hyperlink ref="L19" r:id="rId2" display="lien"/>
    <hyperlink ref="L20" r:id="rId3" display="lien"/>
    <hyperlink ref="L21" r:id="rId4" display="lien"/>
    <hyperlink ref="L22" r:id="rId5" display="lien"/>
    <hyperlink ref="L23" r:id="rId6" display="lien"/>
    <hyperlink ref="L24" r:id="rId7" display="lien"/>
    <hyperlink ref="L25" r:id="rId8" display="lien"/>
    <hyperlink ref="L26" r:id="rId9" display="lien"/>
    <hyperlink ref="L27" r:id="rId10" display="lien"/>
    <hyperlink ref="L28" r:id="rId11" display="lien"/>
    <hyperlink ref="L29" r:id="rId12" display="lien"/>
    <hyperlink ref="L30" r:id="rId13" display="lien"/>
    <hyperlink ref="L31" r:id="rId14" display="lien"/>
    <hyperlink ref="L32" r:id="rId15" display="lien"/>
    <hyperlink ref="L33" r:id="rId16" display="lien"/>
    <hyperlink ref="L34" r:id="rId17" display="lien"/>
    <hyperlink ref="L35" r:id="rId18" display="lien"/>
    <hyperlink ref="L36" r:id="rId19" display="lien"/>
    <hyperlink ref="L37" r:id="rId20" display="lien"/>
    <hyperlink ref="L38" r:id="rId21" display="lien"/>
    <hyperlink ref="L39" r:id="rId22" display="lien"/>
    <hyperlink ref="L40" r:id="rId23" display="lien"/>
    <hyperlink ref="L41" r:id="rId24" display="lien"/>
    <hyperlink ref="L42" r:id="rId25" display="lien"/>
    <hyperlink ref="L43" r:id="rId26" display="lien"/>
    <hyperlink ref="L44" r:id="rId27" display="lien"/>
    <hyperlink ref="L45" r:id="rId28" display="lien"/>
    <hyperlink ref="L46" r:id="rId29" display="lien"/>
    <hyperlink ref="L47" r:id="rId30" display="lien"/>
    <hyperlink ref="L48" r:id="rId31" display="lien"/>
    <hyperlink ref="L49" r:id="rId32" display="lien"/>
    <hyperlink ref="L52" r:id="rId33" display="lien"/>
    <hyperlink ref="L53" r:id="rId34" display="lien"/>
    <hyperlink ref="L54" r:id="rId35" display="lien"/>
    <hyperlink ref="L55" r:id="rId36" display="lien"/>
    <hyperlink ref="L56" r:id="rId37" display="lien"/>
    <hyperlink ref="L57" r:id="rId38" display="lien"/>
    <hyperlink ref="L58" r:id="rId39" display="lien"/>
    <hyperlink ref="L59" r:id="rId40" display="lien"/>
    <hyperlink ref="L60" r:id="rId41" display="lien"/>
    <hyperlink ref="L61" r:id="rId42" display="lien"/>
    <hyperlink ref="L62" r:id="rId43" display="lien"/>
    <hyperlink ref="L63" r:id="rId44" display="lien"/>
    <hyperlink ref="L65" r:id="rId45" display="lien"/>
    <hyperlink ref="L66" r:id="rId46" display="lien"/>
    <hyperlink ref="L67" r:id="rId47" display="lien"/>
    <hyperlink ref="L68" r:id="rId48" display="lien"/>
    <hyperlink ref="L70" r:id="rId49" display="lien"/>
    <hyperlink ref="L72" r:id="rId50" display="lien"/>
    <hyperlink ref="L73" r:id="rId51" display="li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2026-10-18T09:03:28Z</dcterms:created>
  <dc:creator>openpyxl</dc:creator>
  <dc:description/>
  <dc:language>en-US</dc:language>
  <cp:lastModifiedBy/>
  <dcterms:modified xsi:type="dcterms:W3CDTF">2026-10-18T09:03:28Z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